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data_frame_prueba2" sheetId="1" state="visible" r:id="rId1"/>
    <sheet name="data_frame_prueba" sheetId="2" state="visible" r:id="rId2"/>
    <sheet name="Hoja1" sheetId="3" state="visible" r:id="rId3"/>
    <sheet name="data_frame_prueba1" sheetId="4" state="visible" r:id="rId4"/>
    <sheet name="Tabla de Atmosfera estandar" sheetId="5" state="visible" r:id="rId5"/>
  </sheets>
  <definedNames>
    <definedName name="_ftn1" localSheetId="1">data_frame_prueba!#REF!</definedName>
    <definedName name="_ftnref1" localSheetId="1">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8">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Tahoma"/>
      <family val="2"/>
      <color indexed="81"/>
      <sz val="14"/>
    </font>
    <font>
      <name val="Black Sans Black"/>
      <family val="3"/>
      <color theme="7" tint="-0.249977111117893"/>
      <sz val="11"/>
    </font>
    <font>
      <name val="Black Sans Black"/>
      <family val="3"/>
      <color theme="7" tint="-0.249977111117893"/>
      <sz val="11"/>
      <u val="single"/>
    </font>
    <font>
      <name val="Calibri"/>
      <b val="1"/>
      <sz val="11"/>
    </font>
    <font>
      <name val="Calibri"/>
      <family val="2"/>
      <b val="1"/>
      <color theme="1"/>
      <sz val="20"/>
      <scheme val="minor"/>
    </font>
    <font>
      <name val="Calibri"/>
      <b val="1"/>
      <i val="1"/>
      <color theme="1"/>
      <sz val="14"/>
    </font>
  </fonts>
  <fills count="21">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00FFFF00"/>
        <bgColor rgb="00FFFF00"/>
      </patternFill>
    </fill>
    <fill>
      <patternFill patternType="solid">
        <fgColor rgb="00FFA500"/>
        <bgColor rgb="00FFA500"/>
      </patternFill>
    </fill>
    <fill>
      <patternFill patternType="solid">
        <fgColor rgb="0000FF00"/>
        <bgColor rgb="0000FF0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0" borderId="0"/>
    <xf numFmtId="0" fontId="2" fillId="0" borderId="0"/>
  </cellStyleXfs>
  <cellXfs count="88">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7"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4"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7" borderId="3" applyAlignment="1" pivotButton="0" quotePrefix="0" xfId="0">
      <alignment horizontal="center" vertical="center" wrapText="1"/>
    </xf>
    <xf numFmtId="165" fontId="11" fillId="2" borderId="1" applyAlignment="1" pivotButton="0" quotePrefix="0" xfId="0">
      <alignment horizontal="center" vertical="center"/>
    </xf>
    <xf numFmtId="165" fontId="11" fillId="2" borderId="1" applyAlignment="1" pivotButton="0" quotePrefix="1" xfId="0">
      <alignment horizontal="center" vertical="center"/>
    </xf>
    <xf numFmtId="165" fontId="11" fillId="4" borderId="1" applyAlignment="1" pivotButton="0" quotePrefix="0" xfId="0">
      <alignment horizontal="center" vertical="center"/>
    </xf>
    <xf numFmtId="165" fontId="11" fillId="4" borderId="1" applyAlignment="1" pivotButton="0" quotePrefix="1" xfId="0">
      <alignment horizontal="center" vertical="center"/>
    </xf>
    <xf numFmtId="165" fontId="11" fillId="6" borderId="1" applyAlignment="1" pivotButton="0" quotePrefix="0" xfId="0">
      <alignment horizontal="center" vertical="center"/>
    </xf>
    <xf numFmtId="165" fontId="11" fillId="5" borderId="1" applyAlignment="1" pivotButton="0" quotePrefix="0" xfId="0">
      <alignment horizontal="center" vertical="center"/>
    </xf>
    <xf numFmtId="165" fontId="11" fillId="5" borderId="1" applyAlignment="1" pivotButton="0" quotePrefix="1" xfId="0">
      <alignment horizontal="center" vertical="center"/>
    </xf>
    <xf numFmtId="165" fontId="11" fillId="3" borderId="1" applyAlignment="1" pivotButton="0" quotePrefix="0" xfId="0">
      <alignment horizontal="center" vertical="center"/>
    </xf>
    <xf numFmtId="165" fontId="11" fillId="3" borderId="1" applyAlignment="1" pivotButton="0" quotePrefix="1" xfId="0">
      <alignment horizontal="center" vertical="center"/>
    </xf>
    <xf numFmtId="165" fontId="12" fillId="3" borderId="1" applyAlignment="1" pivotButton="0" quotePrefix="0" xfId="0">
      <alignment horizontal="center" vertical="center"/>
    </xf>
    <xf numFmtId="165" fontId="13" fillId="3" borderId="1" applyAlignment="1" pivotButton="0" quotePrefix="0" xfId="0">
      <alignment horizontal="center" vertical="center"/>
    </xf>
    <xf numFmtId="165" fontId="12" fillId="2" borderId="1" applyAlignment="1" pivotButton="0" quotePrefix="0" xfId="0">
      <alignment horizontal="center" vertical="center"/>
    </xf>
    <xf numFmtId="165" fontId="11" fillId="2"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6" borderId="1" applyAlignment="1" pivotButton="0" quotePrefix="0" xfId="0">
      <alignment horizontal="center" vertical="center" wrapText="1"/>
    </xf>
    <xf numFmtId="165" fontId="11" fillId="5"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2" fillId="4" borderId="1" applyAlignment="1" pivotButton="0" quotePrefix="0" xfId="0">
      <alignment horizontal="center" vertical="center"/>
    </xf>
    <xf numFmtId="165" fontId="14" fillId="3" borderId="1" applyAlignment="1" pivotButton="0" quotePrefix="0" xfId="0">
      <alignment horizontal="center" vertical="center"/>
    </xf>
    <xf numFmtId="165" fontId="15" fillId="3" borderId="1" applyAlignment="1" pivotButton="0" quotePrefix="0" xfId="0">
      <alignment horizontal="center" vertical="center"/>
    </xf>
    <xf numFmtId="0" fontId="5" fillId="0" borderId="0" pivotButton="0" quotePrefix="0" xfId="0"/>
    <xf numFmtId="0" fontId="16" fillId="9" borderId="2" applyAlignment="1" pivotButton="0" quotePrefix="0" xfId="0">
      <alignment horizontal="center" vertical="center" wrapText="1"/>
    </xf>
    <xf numFmtId="0" fontId="16" fillId="9" borderId="8" applyAlignment="1" pivotButton="0" quotePrefix="0" xfId="0">
      <alignment horizontal="center" vertical="center" wrapText="1"/>
    </xf>
    <xf numFmtId="0" fontId="16" fillId="9" borderId="7" applyAlignment="1" pivotButton="0" quotePrefix="0" xfId="0">
      <alignment horizontal="center" vertical="center" wrapText="1"/>
    </xf>
    <xf numFmtId="0" fontId="17" fillId="8" borderId="2" applyAlignment="1" pivotButton="0" quotePrefix="0" xfId="0">
      <alignment horizontal="center" vertical="center" wrapText="1"/>
    </xf>
    <xf numFmtId="0" fontId="17" fillId="8" borderId="8" applyAlignment="1" pivotButton="0" quotePrefix="0" xfId="0">
      <alignment horizontal="center" vertical="center" wrapText="1"/>
    </xf>
    <xf numFmtId="0" fontId="17" fillId="8" borderId="7" applyAlignment="1" pivotButton="0" quotePrefix="0" xfId="0">
      <alignment horizontal="center" vertical="center" wrapText="1"/>
    </xf>
    <xf numFmtId="0" fontId="16" fillId="9" borderId="10" applyAlignment="1" pivotButton="0" quotePrefix="0" xfId="0">
      <alignment horizontal="center" vertical="center" wrapText="1"/>
    </xf>
    <xf numFmtId="0" fontId="16" fillId="9" borderId="9" applyAlignment="1" pivotButton="0" quotePrefix="0" xfId="0">
      <alignment horizontal="center" vertical="center" wrapText="1"/>
    </xf>
    <xf numFmtId="0" fontId="16" fillId="0" borderId="0" applyAlignment="1" pivotButton="0" quotePrefix="0" xfId="0">
      <alignment horizontal="center" vertical="center" wrapText="1"/>
    </xf>
    <xf numFmtId="0" fontId="16" fillId="9" borderId="4" applyAlignment="1" pivotButton="0" quotePrefix="0" xfId="0">
      <alignment horizontal="center" vertical="center" wrapText="1"/>
    </xf>
    <xf numFmtId="0" fontId="17" fillId="10" borderId="5" applyAlignment="1" pivotButton="0" quotePrefix="0" xfId="0">
      <alignment horizontal="center" vertical="center" wrapText="1"/>
    </xf>
    <xf numFmtId="0" fontId="17" fillId="8" borderId="5" applyAlignment="1" pivotButton="0" quotePrefix="0" xfId="0">
      <alignment horizontal="center" vertical="center" wrapText="1"/>
    </xf>
    <xf numFmtId="0" fontId="17" fillId="8" borderId="11" applyAlignment="1" pivotButton="0" quotePrefix="0" xfId="0">
      <alignment horizontal="center" vertical="center" wrapText="1"/>
    </xf>
    <xf numFmtId="0" fontId="17" fillId="10" borderId="2" applyAlignment="1" pivotButton="0" quotePrefix="0" xfId="0">
      <alignment horizontal="center" vertical="center" wrapText="1"/>
    </xf>
    <xf numFmtId="0" fontId="17" fillId="8" borderId="0" applyAlignment="1" pivotButton="0" quotePrefix="0" xfId="0">
      <alignment horizontal="center" vertical="center" wrapText="1"/>
    </xf>
    <xf numFmtId="0" fontId="17" fillId="8" borderId="6" applyAlignment="1" pivotButton="0" quotePrefix="0" xfId="0">
      <alignment horizontal="center" vertical="center" wrapText="1"/>
    </xf>
    <xf numFmtId="0" fontId="17"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1" borderId="1" applyAlignment="1" pivotButton="0" quotePrefix="0" xfId="0">
      <alignment horizontal="center" vertical="center" wrapText="1"/>
    </xf>
    <xf numFmtId="0" fontId="18" fillId="12" borderId="1" applyAlignment="1" pivotButton="0" quotePrefix="0" xfId="0">
      <alignment horizontal="center" vertical="center" wrapText="1"/>
    </xf>
    <xf numFmtId="164" fontId="19" fillId="2" borderId="1" applyAlignment="1" pivotButton="0" quotePrefix="0" xfId="0">
      <alignment horizontal="center" vertical="center" wrapText="1"/>
    </xf>
    <xf numFmtId="164" fontId="20" fillId="13" borderId="1" applyAlignment="1" pivotButton="0" quotePrefix="0" xfId="0">
      <alignment horizontal="center" vertical="center" wrapText="1"/>
    </xf>
    <xf numFmtId="0" fontId="21" fillId="13"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8" borderId="1" applyAlignment="1" pivotButton="0" quotePrefix="0" xfId="0">
      <alignment horizontal="center" vertical="center" wrapText="1"/>
    </xf>
    <xf numFmtId="0" fontId="20"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0" applyAlignment="1" pivotButton="0" quotePrefix="0" xfId="0">
      <alignment horizontal="center" vertical="center"/>
    </xf>
    <xf numFmtId="1" fontId="23" fillId="2" borderId="1" applyAlignment="1" pivotButton="0" quotePrefix="0" xfId="0">
      <alignment horizontal="center" vertical="center" wrapText="1"/>
    </xf>
    <xf numFmtId="1" fontId="24" fillId="2" borderId="1" applyAlignment="1" pivotButton="0" quotePrefix="0" xfId="0">
      <alignment horizontal="center" vertical="center" wrapText="1"/>
    </xf>
    <xf numFmtId="1" fontId="23" fillId="2" borderId="1" applyAlignment="1" pivotButton="0" quotePrefix="0" xfId="0">
      <alignment horizontal="center" vertical="center"/>
    </xf>
    <xf numFmtId="165" fontId="11" fillId="17" borderId="1" applyAlignment="1" pivotButton="0" quotePrefix="0" xfId="0">
      <alignment horizontal="center" vertical="center"/>
    </xf>
    <xf numFmtId="0" fontId="25" fillId="0" borderId="1" applyAlignment="1" pivotButton="0" quotePrefix="0" xfId="0">
      <alignment horizontal="center" vertical="top"/>
    </xf>
    <xf numFmtId="0" fontId="26" fillId="2" borderId="1" applyAlignment="1" pivotButton="0" quotePrefix="0" xfId="0">
      <alignment horizontal="center" vertical="center" wrapText="1"/>
    </xf>
    <xf numFmtId="164" fontId="6" fillId="14" borderId="1" applyAlignment="1" pivotButton="0" quotePrefix="0" xfId="0">
      <alignment horizontal="right" vertical="center" wrapText="1"/>
    </xf>
    <xf numFmtId="164" fontId="6" fillId="16" borderId="1" applyAlignment="1" pivotButton="0" quotePrefix="0" xfId="0">
      <alignment horizontal="right" vertical="center" wrapText="1"/>
    </xf>
    <xf numFmtId="164" fontId="6" fillId="15" borderId="1" applyAlignment="1" pivotButton="0" quotePrefix="0" xfId="0">
      <alignment horizontal="right" vertical="center" wrapText="1"/>
    </xf>
    <xf numFmtId="164" fontId="6" fillId="4" borderId="1" applyAlignment="1" pivotButton="0" quotePrefix="0" xfId="0">
      <alignment horizontal="right" vertical="center" wrapText="1"/>
    </xf>
    <xf numFmtId="164" fontId="6" fillId="17" borderId="1" applyAlignment="1" pivotButton="0" quotePrefix="0" xfId="0">
      <alignment horizontal="right" vertical="center" wrapText="1"/>
    </xf>
    <xf numFmtId="0" fontId="6" fillId="3" borderId="1" applyAlignment="1" pivotButton="0" quotePrefix="0" xfId="0">
      <alignment horizontal="right" vertical="center" wrapText="1"/>
    </xf>
    <xf numFmtId="0" fontId="6" fillId="2" borderId="1" applyAlignment="1" pivotButton="0" quotePrefix="0" xfId="0">
      <alignment horizontal="right" vertical="center" wrapText="1"/>
    </xf>
    <xf numFmtId="0" fontId="6" fillId="2" borderId="1" applyAlignment="1" pivotButton="0" quotePrefix="0" xfId="0">
      <alignment horizontal="center" vertical="center" wrapText="1"/>
    </xf>
    <xf numFmtId="0" fontId="6" fillId="0" borderId="0" applyAlignment="1" pivotButton="0" quotePrefix="0" xfId="0">
      <alignment wrapText="1"/>
    </xf>
    <xf numFmtId="165" fontId="27" fillId="2" borderId="1" applyAlignment="1" pivotButton="0" quotePrefix="1" xfId="0">
      <alignment horizontal="center" vertical="center"/>
    </xf>
    <xf numFmtId="165" fontId="27" fillId="2" borderId="1" applyAlignment="1" pivotButton="0" quotePrefix="0" xfId="0">
      <alignment horizontal="center" vertical="center"/>
    </xf>
    <xf numFmtId="165" fontId="27" fillId="5" borderId="1" applyAlignment="1" pivotButton="0" quotePrefix="1" xfId="0">
      <alignment horizontal="center" vertical="center"/>
    </xf>
    <xf numFmtId="165" fontId="11" fillId="18" borderId="1" applyAlignment="1" pivotButton="0" quotePrefix="1" xfId="0">
      <alignment horizontal="center" vertical="center"/>
    </xf>
    <xf numFmtId="165" fontId="27" fillId="3" borderId="1" applyAlignment="1" pivotButton="0" quotePrefix="1" xfId="0">
      <alignment horizontal="center" vertical="center"/>
    </xf>
    <xf numFmtId="165" fontId="27" fillId="3" borderId="1" applyAlignment="1" pivotButton="0" quotePrefix="0" xfId="0">
      <alignment horizontal="center" vertical="center"/>
    </xf>
    <xf numFmtId="165" fontId="11" fillId="18" borderId="1" applyAlignment="1" pivotButton="0" quotePrefix="0" xfId="0">
      <alignment horizontal="center" vertical="center"/>
    </xf>
    <xf numFmtId="165" fontId="27" fillId="5" borderId="1" applyAlignment="1" pivotButton="0" quotePrefix="0" xfId="0">
      <alignment horizontal="center" vertical="center"/>
    </xf>
    <xf numFmtId="165" fontId="11" fillId="19" borderId="1" applyAlignment="1" pivotButton="0" quotePrefix="0" xfId="0">
      <alignment horizontal="center" vertical="center"/>
    </xf>
    <xf numFmtId="165" fontId="11" fillId="20" borderId="1" applyAlignment="1" pivotButton="0" quotePrefix="0" xfId="0">
      <alignment horizontal="center" vertical="center"/>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3 -Comercial/Profesional
</t>
      </text>
    </comment>
    <comment ref="C2" authorId="1" shapeId="0">
      <text>
        <t xml:space="preserve">=== CÁLCULO APLICADO ===
formula:   Altitud asumida = 5000 pies
inputs:
</t>
      </text>
    </comment>
    <comment ref="D2" authorId="1" shapeId="0">
      <text>
        <t xml:space="preserve">=== CÁLCULO APLICADO ===
formula:   TAS_5000 = IAS / sqrt(σ_5000)
inputs:
    IAS:   15.43
    σ_5000:   0.86
</t>
      </text>
    </comment>
    <comment ref="C3" authorId="1" shapeId="0">
      <text>
        <t xml:space="preserve">=== CÁLCULO APLICADO ===
formula:   Altitud asumida = 5000 pies
inputs:
</t>
      </text>
    </comment>
    <comment ref="D3" authorId="1" shapeId="0">
      <text>
        <t xml:space="preserve">=== CÁLCULO APLICADO ===
formula:   TAS_5000 = IAS / sqrt(σ_5000)
inputs:
    IAS:   16.09
    σ_5000:   0.86
</t>
      </text>
    </comment>
    <comment ref="C4" authorId="1" shapeId="0">
      <text>
        <t xml:space="preserve">=== CÁLCULO APLICADO ===
formula:   Altitud asumida = 5000 pies
inputs:
</t>
      </text>
    </comment>
    <comment ref="D4" authorId="1" shapeId="0">
      <text>
        <t xml:space="preserve">=== CÁLCULO APLICADO ===
formula:   TAS_5000 = IAS / sqrt(σ_5000)
inputs:
    IAS:   16.09
    σ_5000:   0.86
</t>
      </text>
    </comment>
    <comment ref="C5" authorId="1" shapeId="0">
      <text>
        <t xml:space="preserve">=== CÁLCULO APLICADO ===
formula:   Altitud asumida = 5000 pies
inputs:
</t>
      </text>
    </comment>
    <comment ref="D5" authorId="1" shapeId="0">
      <text>
        <t xml:space="preserve">=== CÁLCULO APLICADO ===
formula:   TAS_5000 = IAS / sqrt(σ_5000)
inputs:
    IAS:   15.40
    σ_5000:   0.86
</t>
      </text>
    </comment>
    <comment ref="M5" authorId="1" shapeId="0">
      <text>
        <t xml:space="preserve">=== CÁLCULO APLICADO ===
formula:   R[km] = h*3600*V/1000
inputs:
    Autonomía[h]:   12.00
    Velocidad[m/s]:   15.40
</t>
      </text>
    </comment>
    <comment ref="C6" authorId="1" shapeId="0">
      <text>
        <t xml:space="preserve">=== CÁLCULO APLICADO ===
formula:   Altitud asumida = 5000 pies
inputs:
</t>
      </text>
    </comment>
    <comment ref="D6" authorId="1" shapeId="0">
      <text>
        <t xml:space="preserve">=== CÁLCULO APLICADO ===
formula:   TAS_5000 = IAS / sqrt(σ_5000)
inputs:
    IAS:   25.00
    σ_5000:   0.86
</t>
      </text>
    </comment>
    <comment ref="M6" authorId="1" shapeId="0">
      <text>
        <t xml:space="preserve">=== CÁLCULO APLICADO ===
formula:   R[km] = h*3600*V/1000
inputs:
    Autonomía[h]:   19.80
    Velocidad[m/s]:   25.00
</t>
      </text>
    </comment>
    <comment ref="AH6" authorId="0" shapeId="0">
      <text>
        <t>Ezequiel Delpino:
a 4250, dato sacado de motor, no se tiene en cuenta la aeronave</t>
      </text>
    </comment>
    <comment ref="C7" authorId="1" shapeId="0">
      <text>
        <t xml:space="preserve">=== CÁLCULO APLICADO ===
formula:   Altitud asumida = 5000 pies
inputs:
</t>
      </text>
    </comment>
    <comment ref="D7" authorId="1" shapeId="0">
      <text>
        <t xml:space="preserve">=== CÁLCULO APLICADO ===
formula:   TAS_5000 = IAS / sqrt(σ_5000)
inputs:
    IAS:   25.00
    σ_5000:   0.86
</t>
      </text>
    </comment>
    <comment ref="M7" authorId="1" shapeId="0">
      <text>
        <t xml:space="preserve">=== CÁLCULO APLICADO ===
formula:   R[km] = h*3600*V/1000
inputs:
    Autonomía[h]:   12.00
    Velocidad[m/s]:   25.00
</t>
      </text>
    </comment>
    <comment ref="C8" authorId="1" shapeId="0">
      <text>
        <t xml:space="preserve">=== CÁLCULO APLICADO ===
formula:   Altitud asumida = 5000 pies
inputs:
</t>
      </text>
    </comment>
    <comment ref="D8" authorId="1" shapeId="0">
      <text>
        <t xml:space="preserve">=== CÁLCULO APLICADO ===
formula:   TAS_5000 = IAS / sqrt(σ_5000)
inputs:
    IAS:   25.00
    σ_5000:   0.86
</t>
      </text>
    </comment>
    <comment ref="M8" authorId="1" shapeId="0">
      <text>
        <t xml:space="preserve">=== CÁLCULO APLICADO ===
formula:   R[km] = h*3600*V/1000
inputs:
    Autonomía[h]:   19.80
    Velocidad[m/s]:   25.00
</t>
      </text>
    </comment>
    <comment ref="AJ8" authorId="1" shapeId="0">
      <text>
        <t xml:space="preserve">=== IMPUTED VALUE ===
Aeronave:   Aerosonde Mk. 4.8 Fixed wing
Parámetro:   Potencia HP
Valor imputado:   4.82
Confianza:   0.23
Método predictivo:   Similitud
Iteración imputación:   1.00
variable_independiente_1:   None
=== SIMILARITY DETAILS ===
Aeronave:   Aerosonde Mk. 4.8 Fixed wing
Parámetro:   Potencia HP
Valor imputado:   4.82
Confianza:   0.23
Vecinos entrenamiento: [Aerosonde Mk. 4.7 Fixed Wing, Aerosonde Mk. 4.7 VTOL, RQ Nan 21A Blackjack]
k:   3.00
Penalizacion_k:   0.36
Confianza Similitud:   0.68
Confianza Datos:   0.34
Confianza CV:   0.29
CV:   0.35
Dispersión:   1.89
Advertencia:   confianza_baja
Método predictivo:   Similitud
Familia:   Filtrado directo
coeficientes_similitud: [0.78, 0.72, 0.38]
valores_vecinos: [4.00, 4.00, 8.00]
aeronaves_similares_detalle:
  - Item 1:
        aeronave:   Aerosonde Mk. 4.7 Fixed Wing
        coeficiente_similitud:   0.78
        valor_parametro:   4.00
        parametros_validos:   13.00
        familias_cumplidas:   3.00
        diferencias_promedio:   5.00
        razon_aceptacion:   Cumple ≥3 familias
  - Item 2:
        aeronave:   Aerosonde Mk. 4.7 VTOL
        coeficiente_similitud:   0.72
        valor_parametro:   4.00
        parametros_validos:   13.00
        familias_cumplidas:   3.00
        diferencias_promedio:   10.12
        razon_aceptacion:   Cumple ≥3 familias
  - Item 3:
        aeronave:   RQ Nan 21A Blackjack
        coeficiente_similitud:   0.38
        valor_parametro:   8.00
        parametros_validos:   10.00
        familias_cumplidas:   3.00
        diferencias_promedio:   17.11
        razon_aceptacion:   Cumple ≥3 familias
sim_vals: [0.78, 0.72, 0.38]
vecinos_predictores:
    Peso máximo al despegue (MTOW): [42.20, 53.50, 61.00]
    Peso Vacio (MTOW - payload): [27.70, 42.20, 43.30]
    Payload: [14.50, 11.30, 17.70]
    Área del ala: [1.55, 1.55, nan]
    Envergadura: [4.40, 4.40, 4.80]
    Longitud del fuselaje: [3.00, 3.00, 2.50]
    Ancho del fuselaje: [0.28, 0.28, nan]
    Relación de aspecto del ala: [12.50, 12.50, nan]
    Autonomía de la aeronave (h): [19.80, 12.00, 16.00]
    Alcance de la aeronave (km): [1782.00, 1080.00, 1779.84]
    Velocidad a la que se realiza el crucero (m/s TAS): [26.93, 26.93, 33.29]
    Velocidad máxima (m/s IAS): [33.44, 33.44, 46.30]
    Rango de comunicación: [140.00, 140.00, 92.60]
    Potencia Watts: [2980.00, 2980.00, nan]
Iteración imputación:   1.00
</t>
      </text>
    </comment>
    <comment ref="C9" authorId="1" shapeId="0">
      <text>
        <t xml:space="preserve">=== CÁLCULO APLICADO ===
formula:   Altitud asumida = 5000 pies
inputs:
</t>
      </text>
    </comment>
    <comment ref="D10" authorId="1" shapeId="0">
      <text>
        <t xml:space="preserve">=== CÁLCULO APLICADO ===
formula:   TAS_5000 = IAS / sqrt(σ_5000)
inputs:
    IAS:   34.94
    σ_5000:   0.86
</t>
      </text>
    </comment>
    <comment ref="W10" authorId="1" shapeId="0">
      <text>
        <t xml:space="preserve">=== CÁLCULO APLICADO ===
formula:   V = R*1000/(h*3600)
inputs:
    R[km]:   3270.00
    Autonomía[h]:   26.00
</t>
      </text>
    </comment>
    <comment ref="C11" authorId="1" shapeId="0">
      <text>
        <t xml:space="preserve">=== CÁLCULO APLICADO ===
formula:   Altitud asumida = 5000 pies
inputs:
</t>
      </text>
    </comment>
    <comment ref="D11" authorId="1" shapeId="0">
      <text>
        <t xml:space="preserve">=== CÁLCULO APLICADO ===
formula:   TAS_5000 = IAS / sqrt(σ_5000)
inputs:
    IAS:   27.80
    σ_5000:   0.86
</t>
      </text>
    </comment>
    <comment ref="C12" authorId="1" shapeId="0">
      <text>
        <t xml:space="preserve">=== CÁLCULO APLICADO ===
formula:   Altitud asumida = 5000 pies
inputs:
</t>
      </text>
    </comment>
    <comment ref="AA12" authorId="1" shapeId="0">
      <text>
        <t xml:space="preserve">=== CÁLCULO APLICADO ===
formula:   W0 = MTOW - Payload
inputs:
    MTOW:   55.00
    Payload:   12.00
</t>
      </text>
    </comment>
    <comment ref="C13" authorId="1" shapeId="0">
      <text>
        <t xml:space="preserve">=== CÁLCULO APLICADO ===
formula:   Altitud asumida = 5000 pies
inputs:
</t>
      </text>
    </comment>
    <comment ref="D13" authorId="1" shapeId="0">
      <text>
        <t xml:space="preserve">=== IMPUTED VALUE ===
Aeronave:   Orbiter 3
Parámetro:   Velocidad a la que se realiza el crucero (m/s TAS)
Valor imputado:   26.43
Confianza:   0.13
Método predictivo:   Similitud
Iteración imputación:   1.00
variable_independiente_1:   None
=== SIMILARITY DETAILS ===
Aeronave:   Orbiter 3
Parámetro:   Velocidad a la que se realiza el crucero (m/s TAS)
Valor imputado:   26.43
Confianza:   0.13
Vecinos entrenamiento: [V39, Fulmar X, V32]
k:   3.00
Penalizacion_k:   0.36
Confianza Similitud:   0.27
Confianza Datos:   0.47
Confianza CV:   0.73
CV:   0.13
Dispersión:   3.47
Advertencia:   confianza_baja
Método predictivo:   Similitud
Familia:   Filtrado directo
coeficientes_similitud: [0.31, 0.27, 0.22]
valores_vecinos: [26.93, 29.95, 21.55]
aeronaves_similares_detalle:
  - Item 1:
        aeronave:   V39
        coeficiente_similitud:   0.31
        valor_parametro:   26.93
        parametros_validos:   7.00
        familias_cumplidas:   3.00
        diferencias_promedio:   21.01
        razon_aceptacion:   Cumple ≥3 familias
  - Item 2:
        aeronave:   Fulmar X
        coeficiente_similitud:   0.27
        valor_parametro:   29.95
        parametros_validos:   5.00
        familias_cumplidas:   3.00
        diferencias_promedio:   23.70
        razon_aceptacion:   Cumple ≥3 familias
  - Item 3:
        aeronave:   V32
        coeficiente_similitud:   0.22
        valor_parametro:   21.55
        parametros_validos:   8.00
        familias_cumplidas:   3.00
        diferencias_promedio:   22.89
        razon_aceptacion:   Cumple ≥3 familias
sim_vals: [0.31, 0.27, 0.22]
vecinos_predictores:
    Peso máximo al despegue (MTOW): [24.00, 20.00, 23.50]
    Peso Vacio (MTOW - payload): [19.00, nan, 18.50]
    Payload: [5.00, nan, 5.00]
    Envergadura: [3.90, 3.00, 3.20]
    Longitud del fuselaje: [nan, 1.20, 1.00]
    Autonomía de la aeronave (h): [4.50, 8.00, 4.50]
    Alcance de la aeronave (km): [405.00, 800.00, 324.00]
    Velocidad máxima (m/s IAS): [33.00, 41.70, 33.00]
    Rango de comunicación: [30.00, nan, 30.00]
Iteración imputación:   1.00
</t>
      </text>
    </comment>
    <comment ref="M13" authorId="1" shapeId="0">
      <text>
        <t xml:space="preserve">=== IMPUTED VALUE ===
Aeronave:   Orbiter 3
Parámetro:   Alcance de la aeronave (km)
Valor imputado:   514.57
Confianza:   0.08
Método predictivo:   Similitud
Iteración imputación:   1.00
variable_independiente_1:   None
=== SIMILARITY DETAILS ===
Aeronave:   Orbiter 3
Parámetro:   Alcance de la aeronave (km)
Valor imputado:   514.57
Confianza:   0.08
Vecinos entrenamiento: [V39, Fulmar X, V32]
k:   3.00
Penalizacion_k:   0.36
Confianza Similitud:   0.27
Confianza Datos:   0.30
Confianza CV:   0.18
CV:   0.41
Dispersión:   207.94
Advertencia:   confianza_baja
Método predictivo:   Similitud
Familia:   Filtrado directo
coeficientes_similitud: [0.31, 0.27, 0.22]
valores_vecinos: [405.00, 800.00, 324.00]
aeronaves_similares_detalle:
  - Item 1:
        aeronave:   V39
        coeficiente_similitud:   0.31
        valor_parametro:   405.00
        parametros_validos:   7.00
        familias_cumplidas:   3.00
        diferencias_promedio:   21.01
        razon_aceptacion:   Cumple ≥3 familias
  - Item 2:
        aeronave:   Fulmar X
        coeficiente_similitud:   0.27
        valor_parametro:   800.00
        parametros_validos:   5.00
        familias_cumplidas:   3.00
        diferencias_promedio:   23.70
        razon_aceptacion:   Cumple ≥3 familias
  - Item 3:
        aeronave:   V32
        coeficiente_similitud:   0.22
        valor_parametro:   324.00
        parametros_validos:   8.00
        familias_cumplidas:   3.00
        diferencias_promedio:   22.89
        razon_aceptacion:   Cumple ≥3 familias
sim_vals: [0.31, 0.27, 0.22]
vecinos_predictores:
    Peso máximo al despegue (MTOW): [24.00, 20.00, 23.50]
    Peso Vacio (MTOW - payload): [19.00, nan, 18.50]
    Payload: [5.00, nan, 5.00]
    Envergadura: [3.90, 3.00, 3.20]
    Longitud del fuselaje: [nan, 1.20, 1.00]
    Autonomía de la aeronave (h): [4.50, 8.00, 4.50]
    Velocidad a la que se realiza el crucero (m/s TAS): [26.93, 29.95, 21.55]
    Velocidad máxima (m/s IAS): [33.00, 41.70, 33.00]
    Rango de comunicación: [30.00, nan, 30.00]
Iteración imputación:   1.00
</t>
      </text>
    </comment>
    <comment ref="AA13" authorId="1" shapeId="0">
      <text>
        <t xml:space="preserve">=== CÁLCULO APLICADO ===
formula:   W0 = MTOW - Payload
inputs:
    MTOW:   32.00
    Payload:   5.50
</t>
      </text>
    </comment>
    <comment ref="C14" authorId="1" shapeId="0">
      <text>
        <t xml:space="preserve">=== CÁLCULO APLICADO ===
formula:   Altitud asumida = 5000 pies
inputs:
</t>
      </text>
    </comment>
    <comment ref="D14" authorId="1" shapeId="0">
      <text>
        <t xml:space="preserve">=== CÁLCULO APLICADO ===
formula:   TAS_5000 = IAS / sqrt(σ_5000)
inputs:
    IAS:   16.70
    σ_5000:   0.86
</t>
      </text>
    </comment>
    <comment ref="C15" authorId="1" shapeId="0">
      <text>
        <t xml:space="preserve">=== CÁLCULO APLICADO ===
formula:   Altitud asumida = 5000 pies
inputs:
</t>
      </text>
    </comment>
    <comment ref="D15" authorId="1" shapeId="0">
      <text>
        <t xml:space="preserve">=== CÁLCULO APLICADO ===
formula:   TAS_5000 = IAS / sqrt(σ_5000)
inputs:
    IAS:   28.00
    σ_5000:   0.86
</t>
      </text>
    </comment>
    <comment ref="M15" authorId="1" shapeId="0">
      <text>
        <t xml:space="preserve">=== CÁLCULO APLICADO ===
formula:   R[km] = h*3600*V/1000
inputs:
    Autonomía[h]:   18.00
    Velocidad[m/s]:   28.00
</t>
      </text>
    </comment>
    <comment ref="AA15" authorId="1" shapeId="0">
      <text>
        <t xml:space="preserve">=== CÁLCULO APLICADO ===
formula:   W0 = MTOW - Payload
inputs:
    MTOW:   26.50
    Payload:   5.00
</t>
      </text>
    </comment>
    <comment ref="C16" authorId="1" shapeId="0">
      <text>
        <t xml:space="preserve">=== CÁLCULO APLICADO ===
formula:   Altitud asumida = 5000 pies
inputs:
</t>
      </text>
    </comment>
    <comment ref="D16" authorId="1" shapeId="0">
      <text>
        <t xml:space="preserve">=== CÁLCULO APLICADO ===
formula:   TAS_5000 = IAS / sqrt(σ_5000)
inputs:
    IAS:   28.30
    σ_5000:   0.86
</t>
      </text>
    </comment>
    <comment ref="M16" authorId="1" shapeId="0">
      <text>
        <t xml:space="preserve">=== CÁLCULO APLICADO ===
formula:   R[km] = h*3600*V/1000
inputs:
    Autonomía[h]:   24.00
    Velocidad[m/s]:   28.30
</t>
      </text>
    </comment>
    <comment ref="AA16" authorId="1" shapeId="0">
      <text>
        <t xml:space="preserve">=== CÁLCULO APLICADO ===
formula:   W0 = MTOW - Payload
inputs:
    MTOW:   74.80
    Payload:   18.00
</t>
      </text>
    </comment>
    <comment ref="AA17" authorId="1" shapeId="0">
      <text>
        <t xml:space="preserve">=== CÁLCULO APLICADO ===
formula:   W0 = MTOW - Payload
inputs:
    MTOW:   75.00
    Payload:   18.00
</t>
      </text>
    </comment>
    <comment ref="C18" authorId="1" shapeId="0">
      <text>
        <t xml:space="preserve">=== CÁLCULO APLICADO ===
formula:   Altitud asumida = 5000 pies
inputs:
</t>
      </text>
    </comment>
    <comment ref="D18" authorId="1" shapeId="0">
      <text>
        <t xml:space="preserve">=== CÁLCULO APLICADO ===
formula:   TAS_5000 = IAS / sqrt(σ_5000)
inputs:
    IAS:   7.31
    σ_5000:   0.86
</t>
      </text>
    </comment>
    <comment ref="W18" authorId="1" shapeId="0">
      <text>
        <t xml:space="preserve">=== CÁLCULO APLICADO ===
formula:   V = R*1000/(h*3600)
inputs:
    R[km]:   500.00
    Autonomía[h]:   19.00
</t>
      </text>
    </comment>
    <comment ref="AA18" authorId="1" shapeId="0">
      <text>
        <t xml:space="preserve">=== CÁLCULO APLICADO ===
formula:   W0 = MTOW - Payload
inputs:
    MTOW:   74.80
    Payload:   18.00
</t>
      </text>
    </comment>
    <comment ref="C19" authorId="1" shapeId="0">
      <text>
        <t xml:space="preserve">=== CÁLCULO APLICADO ===
formula:   Altitud asumida = 5000 pies
inputs:
</t>
      </text>
    </comment>
    <comment ref="D19" authorId="1" shapeId="0">
      <text>
        <t xml:space="preserve">=== CÁLCULO APLICADO ===
formula:   TAS_5000 = IAS / sqrt(σ_5000)
inputs:
    IAS:   23.50
    σ_5000:   0.86
</t>
      </text>
    </comment>
    <comment ref="M19" authorId="1" shapeId="0">
      <text>
        <t xml:space="preserve">=== CÁLCULO APLICADO ===
formula:   R[km] = h*3600*V/1000
inputs:
    Autonomía[h]:   18.00
    Velocidad[m/s]:   23.50
</t>
      </text>
    </comment>
    <comment ref="AA19" authorId="1" shapeId="0">
      <text>
        <t xml:space="preserve">=== CÁLCULO APLICADO ===
formula:   W0 = MTOW - Payload
inputs:
    MTOW:   36.30
    Payload:   8.60
</t>
      </text>
    </comment>
    <comment ref="C20" authorId="1" shapeId="0">
      <text>
        <t xml:space="preserve">=== CÁLCULO APLICADO ===
formula:   Altitud asumida = 5000 pies
inputs:
</t>
      </text>
    </comment>
    <comment ref="D20" authorId="1" shapeId="0">
      <text>
        <t xml:space="preserve">=== CÁLCULO APLICADO ===
formula:   TAS_5000 = IAS / sqrt(σ_5000)
inputs:
    IAS:   30.90
    σ_5000:   0.86
</t>
      </text>
    </comment>
    <comment ref="M20" authorId="1" shapeId="0">
      <text>
        <t xml:space="preserve">=== CÁLCULO APLICADO ===
formula:   R[km] = h*3600*V/1000
inputs:
    Autonomía[h]:   16.00
    Velocidad[m/s]:   30.90
</t>
      </text>
    </comment>
    <comment ref="AA20" authorId="1" shapeId="0">
      <text>
        <t xml:space="preserve">=== CÁLCULO APLICADO ===
formula:   W0 = MTOW - Payload
inputs:
    MTOW:   61.00
    Payload:   17.70
</t>
      </text>
    </comment>
    <comment ref="C21" authorId="1" shapeId="0">
      <text>
        <t xml:space="preserve">=== CÁLCULO APLICADO ===
formula:   Altitud asumida = 5000 pies
inputs:
</t>
      </text>
    </comment>
    <comment ref="D21" authorId="1" shapeId="0">
      <text>
        <t xml:space="preserve">=== CÁLCULO APLICADO ===
formula:   TAS_5000 = IAS / sqrt(σ_5000)
inputs:
    IAS:   16.54
    σ_5000:   0.86
</t>
      </text>
    </comment>
    <comment ref="C22" authorId="1" shapeId="0">
      <text>
        <t xml:space="preserve">=== CÁLCULO APLICADO ===
formula:   Altitud asumida = 5000 pies
inputs:
</t>
      </text>
    </comment>
    <comment ref="D22" authorId="1" shapeId="0">
      <text>
        <t xml:space="preserve">=== CÁLCULO APLICADO ===
formula:   TAS_5000 = IAS / sqrt(σ_5000)
inputs:
    IAS:   16.00
    σ_5000:   0.86
</t>
      </text>
    </comment>
    <comment ref="AA22" authorId="1" shapeId="0">
      <text>
        <t xml:space="preserve">=== CÁLCULO APLICADO ===
formula:   W0 = MTOW - Payload
inputs:
    MTOW:   6.20
    Payload:   1.20
</t>
      </text>
    </comment>
    <comment ref="C23" authorId="1" shapeId="0">
      <text>
        <t xml:space="preserve">=== CÁLCULO APLICADO ===
formula:   Altitud asumida = 5000 pies
inputs:
</t>
      </text>
    </comment>
    <comment ref="D23" authorId="1" shapeId="0">
      <text>
        <t xml:space="preserve">=== CÁLCULO APLICADO ===
formula:   TAS_5000 = IAS / sqrt(σ_5000)
inputs:
    IAS:   16.00
    σ_5000:   0.86
</t>
      </text>
    </comment>
    <comment ref="AA23" authorId="1" shapeId="0">
      <text>
        <t xml:space="preserve">=== CÁLCULO APLICADO ===
formula:   W0 = MTOW - Payload
inputs:
    MTOW:   6.20
    Payload:   1.20
</t>
      </text>
    </comment>
    <comment ref="C24" authorId="1" shapeId="0">
      <text>
        <t xml:space="preserve">=== CÁLCULO APLICADO ===
formula:   Altitud asumida = 5000 pies
inputs:
</t>
      </text>
    </comment>
    <comment ref="D24" authorId="1" shapeId="0">
      <text>
        <t xml:space="preserve">=== CÁLCULO APLICADO ===
formula:   TAS_5000 = IAS / sqrt(σ_5000)
inputs:
    IAS:   18.00
    σ_5000:   0.86
</t>
      </text>
    </comment>
    <comment ref="M24" authorId="1" shapeId="0">
      <text>
        <t xml:space="preserve">=== CÁLCULO APLICADO ===
formula:   R[km] = h*3600*V/1000
inputs:
    Autonomía[h]:   3.00
    Velocidad[m/s]:   18.00
</t>
      </text>
    </comment>
    <comment ref="AA24" authorId="1" shapeId="0">
      <text>
        <t xml:space="preserve">=== CÁLCULO APLICADO ===
formula:   W0 = MTOW - Payload
inputs:
    MTOW:   10.00
    Payload:   1.50
</t>
      </text>
    </comment>
    <comment ref="C25" authorId="1" shapeId="0">
      <text>
        <t xml:space="preserve">=== CÁLCULO APLICADO ===
formula:   Altitud asumida = 5000 pies
inputs:
</t>
      </text>
    </comment>
    <comment ref="D25" authorId="1" shapeId="0">
      <text>
        <t xml:space="preserve">=== CÁLCULO APLICADO ===
formula:   TAS_5000 = IAS / sqrt(σ_5000)
inputs:
    IAS:   20.00
    σ_5000:   0.86
</t>
      </text>
    </comment>
    <comment ref="M25" authorId="1" shapeId="0">
      <text>
        <t xml:space="preserve">=== CÁLCULO APLICADO ===
formula:   R[km] = h*3600*V/1000
inputs:
    Autonomía[h]:   4.00
    Velocidad[m/s]:   20.00
</t>
      </text>
    </comment>
    <comment ref="AA25" authorId="1" shapeId="0">
      <text>
        <t xml:space="preserve">=== CÁLCULO APLICADO ===
formula:   W0 = MTOW - Payload
inputs:
    MTOW:   12.50
    Payload:   2.20
</t>
      </text>
    </comment>
    <comment ref="C26" authorId="1" shapeId="0">
      <text>
        <t xml:space="preserve">=== CÁLCULO APLICADO ===
formula:   Altitud asumida = 5000 pies
inputs:
</t>
      </text>
    </comment>
    <comment ref="D26" authorId="1" shapeId="0">
      <text>
        <t xml:space="preserve">=== CÁLCULO APLICADO ===
formula:   TAS_5000 = IAS / sqrt(σ_5000)
inputs:
    IAS:   20.00
    σ_5000:   0.86
</t>
      </text>
    </comment>
    <comment ref="M26" authorId="1" shapeId="0">
      <text>
        <t xml:space="preserve">=== CÁLCULO APLICADO ===
formula:   R[km] = h*3600*V/1000
inputs:
    Autonomía[h]:   4.50
    Velocidad[m/s]:   20.00
</t>
      </text>
    </comment>
    <comment ref="AA26" authorId="1" shapeId="0">
      <text>
        <t xml:space="preserve">=== CÁLCULO APLICADO ===
formula:   W0 = MTOW - Payload
inputs:
    MTOW:   23.50
    Payload:   5.00
</t>
      </text>
    </comment>
    <comment ref="C27" authorId="1" shapeId="0">
      <text>
        <t xml:space="preserve">=== CÁLCULO APLICADO ===
formula:   Altitud asumida = 5000 pies
inputs:
</t>
      </text>
    </comment>
    <comment ref="D27" authorId="1" shapeId="0">
      <text>
        <t xml:space="preserve">=== CÁLCULO APLICADO ===
formula:   TAS_5000 = IAS / sqrt(σ_5000)
inputs:
    IAS:   25.00
    σ_5000:   0.86
</t>
      </text>
    </comment>
    <comment ref="M27" authorId="1" shapeId="0">
      <text>
        <t xml:space="preserve">=== CÁLCULO APLICADO ===
formula:   R[km] = h*3600*V/1000
inputs:
    Autonomía[h]:   2.80
    Velocidad[m/s]:   25.00
</t>
      </text>
    </comment>
    <comment ref="AA27" authorId="1" shapeId="0">
      <text>
        <t xml:space="preserve">=== CÁLCULO APLICADO ===
formula:   W0 = MTOW - Payload
inputs:
    MTOW:   32.00
    Payload:   10.00
</t>
      </text>
    </comment>
    <comment ref="C28" authorId="1" shapeId="0">
      <text>
        <t xml:space="preserve">=== CÁLCULO APLICADO ===
formula:   Altitud asumida = 5000 pies
inputs:
</t>
      </text>
    </comment>
    <comment ref="D28" authorId="1" shapeId="0">
      <text>
        <t xml:space="preserve">=== CÁLCULO APLICADO ===
formula:   TAS_5000 = IAS / sqrt(σ_5000)
inputs:
    IAS:   25.00
    σ_5000:   0.86
</t>
      </text>
    </comment>
    <comment ref="M28" authorId="1" shapeId="0">
      <text>
        <t xml:space="preserve">=== CÁLCULO APLICADO ===
formula:   R[km] = h*3600*V/1000
inputs:
    Autonomía[h]:   4.50
    Velocidad[m/s]:   25.00
</t>
      </text>
    </comment>
    <comment ref="AA28" authorId="1" shapeId="0">
      <text>
        <t xml:space="preserve">=== CÁLCULO APLICADO ===
formula:   W0 = MTOW - Payload
inputs:
    MTOW:   24.00
    Payload:   5.00
</t>
      </text>
    </comment>
    <comment ref="C29" authorId="1" shapeId="0">
      <text>
        <t xml:space="preserve">=== CÁLCULO APLICADO ===
formula:   Altitud asumida = 5000 pies
inputs:
</t>
      </text>
    </comment>
    <comment ref="D29" authorId="1" shapeId="0">
      <text>
        <t xml:space="preserve">=== CÁLCULO APLICADO ===
formula:   TAS_5000 = IAS / sqrt(σ_5000)
inputs:
    IAS:   25.00
    σ_5000:   0.86
</t>
      </text>
    </comment>
    <comment ref="M29" authorId="1" shapeId="0">
      <text>
        <t xml:space="preserve">=== CÁLCULO APLICADO ===
formula:   R[km] = h*3600*V/1000
inputs:
    Autonomía[h]:   15.00
    Velocidad[m/s]:   25.00
</t>
      </text>
    </comment>
    <comment ref="S29" authorId="2" shapeId="0">
      <text>
        <t>Comment:
Front wing – 2820 mm, 
Rear wing – 3744 mm</t>
      </text>
    </comment>
    <comment ref="AA29" authorId="1" shapeId="0">
      <text>
        <t xml:space="preserve">=== CÁLCULO APLICADO ===
formula:   W0 = MTOW - Payload
inputs:
    MTOW:   40.00
    Payload:   18.00
</t>
      </text>
    </comment>
    <comment ref="C30" authorId="1" shapeId="0">
      <text>
        <t xml:space="preserve">=== CÁLCULO APLICADO ===
formula:   Altitud asumida = 5000 pies
inputs:
</t>
      </text>
    </comment>
    <comment ref="D30" authorId="1" shapeId="0">
      <text>
        <t xml:space="preserve">=== CÁLCULO APLICADO ===
formula:   TAS_5000 = IAS / sqrt(σ_5000)
inputs:
    IAS:   33.00
    σ_5000:   0.86
</t>
      </text>
    </comment>
    <comment ref="M30" authorId="1" shapeId="0">
      <text>
        <t xml:space="preserve">=== CÁLCULO APLICADO ===
formula:   R[km] = h*3600*V/1000
inputs:
    Autonomía[h]:   2.00
    Velocidad[m/s]:   33.00
</t>
      </text>
    </comment>
    <comment ref="AA30" authorId="1" shapeId="0">
      <text>
        <t xml:space="preserve">=== CÁLCULO APLICADO ===
formula:   W0 = MTOW - Payload
inputs:
    MTOW:   15.00
    Payload:   4.00
</t>
      </text>
    </comment>
    <comment ref="AD30" authorId="1" shapeId="0">
      <text>
        <t xml:space="preserve">=== IMPUTED VALUE ===
Aeronave:   Skyeye 2600
Parámetro:   Rango de comunicación
Valor imputado:   53.59
Confianza:   0.12
Método predictivo:   Similitud
Iteración imputación:   1.00
variable_independiente_1:   None
=== SIMILARITY DETAILS ===
Aeronave:   Skyeye 2600
Parámetro:   Rango de comunicación
Valor imputado:   53.59
Confianza:   0.12
Vecinos entrenamiento: [Vector, Aliaca UAS EVO, JOUAV CW-15]
k:   3.00
Penalizacion_k:   0.36
Confianza Similitud:   0.24
Confianza Datos:   0.50
Confianza CV:   0.82
CV:   0.09
Dispersión:   4.71
Advertencia:   confianza_baja
Método predictivo:   Similitud
Familia:   Filtrado directo
coeficientes_similitud: [0.26, 0.25, 0.22]
valores_vecinos: [60.00, 50.00, 50.00]
aeronaves_similares_detalle:
  - Item 1:
        aeronave:   Vector
        coeficiente_similitud:   0.26
        valor_parametro:   60.00
        parametros_validos:   6.00
        familias_cumplidas:   3.00
        diferencias_promedio:   28.28
        razon_aceptacion:   Cumple ≥3 familias
  - Item 2:
        aeronave:   Aliaca UAS EVO
        coeficiente_similitud:   0.25
        valor_parametro:   50.00
        parametros_validos:   8.00
        familias_cumplidas:   3.00
        diferencias_promedio:   30.38
        razon_aceptacion:   Cumple ≥3 familias
  - Item 3:
        aeronave:   JOUAV CW-15
        coeficiente_similitud:   0.22
        valor_parametro:   50.00
        parametros_validos:   7.00
        familias_cumplidas:   3.00
        diferencias_promedio:   26.82
        razon_aceptacion:   Cumple ≥3 familias
sim_vals: [0.26, 0.25, 0.22]
vecinos_predictores:
    Peso máximo al despegue (MTOW): [9.50, 16.00, 17.00]
    Peso Vacio (MTOW - payload): [nan, 14.50, 14.00]
    Payload: [nan, 2.00, 3.00]
    Envergadura: [2.80, 3.60, nan]
    Longitud del fuselaje: [1.50, 2.10, 2.06]
    Autonomía de la aeronave (h): [3.00, 3.00, 3.00]
    Alcance de la aeronave (km): [216.00, 194.40, 182.95]
    Velocidad a la que se realiza el crucero (m/s TAS): [21.55, 19.39, 18.25]
    Velocidad máxima (m/s IAS): [nan, 28.00, nan]
Iteración imputación:   1.00
</t>
      </text>
    </comment>
    <comment ref="C31" authorId="1" shapeId="0">
      <text>
        <t xml:space="preserve">=== CÁLCULO APLICADO ===
formula:   Altitud asumida = 5000 pies
inputs:
</t>
      </text>
    </comment>
    <comment ref="D31" authorId="1" shapeId="0">
      <text>
        <t xml:space="preserve">=== CÁLCULO APLICADO ===
formula:   TAS_5000 = IAS / sqrt(σ_5000)
inputs:
    IAS:   24.00
    σ_5000:   0.86
</t>
      </text>
    </comment>
    <comment ref="M31" authorId="1" shapeId="0">
      <text>
        <t xml:space="preserve">=== CÁLCULO APLICADO ===
formula:   R[km] = h*3600*V/1000
inputs:
    Autonomía[h]:   3.00
    Velocidad[m/s]:   24.00
</t>
      </text>
    </comment>
    <comment ref="AA31" authorId="1" shapeId="0">
      <text>
        <t xml:space="preserve">=== CÁLCULO APLICADO ===
formula:   W0 = MTOW - Payload
inputs:
    MTOW:   28.00
    Payload:   6.00
</t>
      </text>
    </comment>
    <comment ref="AD31" authorId="1" shapeId="0">
      <text>
        <t xml:space="preserve">=== IMPUTED VALUE ===
Aeronave:   Skyeye 2930 VTOL
Parámetro:   Rango de comunicación
Valor imputado:   87.90
Confianza:   0.12
Método predictivo:   Similitud
Iteración imputación:   1.00
variable_independiente_1:   None
=== SIMILARITY DETAILS ===
Aeronave:   Skyeye 2930 VTOL
Parámetro:   Rango de comunicación
Valor imputado:   87.90
Confianza:   0.12
Vecinos entrenamiento: [T-Drones VA32, JOUAV CW-25E, JOUAV CW-15]
k:   3.00
Penalizacion_k:   0.36
Confianza Similitud:   0.48
Confianza Datos:   0.25
Confianza CV:   0.00
CV:   0.94
Dispersión:   81.79
Advertencia:   confianza_baja, alta_variabilidad
Método predictivo:   Similitud
Familia:   Filtrado directo
coeficientes_similitud: [0.56, 0.49, 0.28]
valores_vecinos: [10.00, 200.00, 50.00]
aeronaves_similares_detalle:
  - Item 1:
        aeronave:   T-Drones VA32
        coeficiente_similitud:   0.56
        valor_parametro:   10.00
        parametros_validos:   8.00
        familias_cumplidas:   3.00
        diferencias_promedio:   13.19
        razon_aceptacion:   Cumple ≥3 familias
  - Item 2:
        aeronave:   JOUAV CW-25E
        coeficiente_similitud:   0.49
        valor_parametro:   200.00
        parametros_validos:   8.00
        familias_cumplidas:   3.00
        diferencias_promedio:   15.80
        razon_aceptacion:   Cumple ≥3 familias
  - Item 3:
        aeronave:   JOUAV CW-15
        coeficiente_similitud:   0.28
        valor_parametro:   50.00
        parametros_validos:   7.00
        familias_cumplidas:   3.00
        diferencias_promedio:   26.56
        razon_aceptacion:   Cumple ≥3 familias
sim_vals: [0.56, 0.49, 0.28]
vecinos_predictores:
    Peso máximo al despegue (MTOW): [25.00, 31.58, 17.00]
    Peso Vacio (MTOW - payload): [20.00, 25.58, 14.00]
    Payload: [5.00, 6.00, 3.00]
    Envergadura: [3.20, 4.35, nan]
    Longitud del fuselaje: [1.98, 2.18, 2.06]
    Autonomía de la aeronave (h): [4.00, 3.50, 3.00]
    Alcance de la aeronave (km): [300.00, 244.44, 182.95]
    Velocidad a la que se realiza el crucero (m/s TAS): [23.70, 20.90, 18.25]
Iteración imputación:   1.00
</t>
      </text>
    </comment>
    <comment ref="C32" authorId="1" shapeId="0">
      <text>
        <t xml:space="preserve">=== CÁLCULO APLICADO ===
formula:   Altitud asumida = 5000 pies
inputs:
</t>
      </text>
    </comment>
    <comment ref="D32" authorId="1" shapeId="0">
      <text>
        <t xml:space="preserve">=== IMPUTED VALUE ===
Aeronave:   Skyeye 3600
Parámetro:   Velocidad a la que se realiza el crucero (m/s TAS)
Valor imputado:   25.90
Confianza:   0.34
Método predictivo:   Similitud
Iteración imputación:   1.00
variable_independiente_1:   None
=== SIMILARITY DETAILS ===
Aeronave:   Skyeye 3600
Parámetro:   Velocidad a la que se realiza el crucero (m/s TAS)
Valor imputado:   25.90
Confianza:   0.34
Vecinos entrenamiento: [V39, T-Drones VA32, V35, YANGDA Sky Whale Mini Electric Long Endurance VTOL Drone, JOUAV CW-25E, Skyeye 2930 VTOL]
k:   6.00
Penalizacion_k:   0.83
Confianza Similitud:   0.42
Confianza Datos:   0.81
Confianza CV:   0.78
CV:   0.11
Dispersión:   2.81
Advertencia:   confianza_baja
Método predictivo:   Similitud
Familia:   Filtrado directo
coeficientes_similitud: [0.62, 0.43, 0.40, 0.21, 0.19, 0.18]
valores_vecinos: [26.93, 23.70, 26.93, 29.84, 20.90, 25.85]
aeronaves_similares_detalle:
  - Item 1:
        aeronave:   V39
        coeficiente_similitud:   0.62
        valor_parametro:   26.93
        parametros_validos:   5.00
        familias_cumplidas:   3.00
        diferencias_promedio:   15.63
        razon_aceptacion:   Cumple ≥3 familias
  - Item 2:
        aeronave:   T-Drones VA32
        coeficiente_similitud:   0.43
        valor_parametro:   23.70
        parametros_validos:   6.00
        familias_cumplidas:   3.00
        diferencias_promedio:   19.08
        razon_aceptacion:   Cumple ≥3 familias
  - Item 3:
        aeronave:   V35
        coeficiente_similitud:   0.40
        valor_parametro:   26.93
        parametros_validos:   6.00
        familias_cumplidas:   3.00
        diferencias_promedio:   16.92
        razon_aceptacion:   Cumple ≥3 familias
  - Item 4:
        aeronave:   YANGDA Sky Whale Mini Electric Long Endurance VTOL Drone
        coeficiente_similitud:   0.21
        valor_parametro:   29.84
        parametros_validos:   6.00
        familias_cumplidas:   3.00
        diferencias_promedio:   26.88
        razon_aceptacion:   Cumple ≥3 familias
  - Item 5:
        aeronave:   JOUAV CW-25E
        coeficiente_similitud:   0.19
        valor_parametro:   20.90
        parametros_validos:   6.00
        familias_cumplidas:   3.00
        diferencias_promedio:   25.06
        razon_aceptacion:   Cumple ≥3 familias
  - Item 6:
        aeronave:   Skyeye 2930 VTOL
        coeficiente_similitud:   0.18
        valor_parametro:   25.85
        parametros_validos:   7.00
        familias_cumplidas:   3.00
        diferencias_promedio:   22.48
        razon_aceptacion:   Cumple ≥3 familias
sim_vals: [0.62, 0.43, 0.40, 0.21, 0.19, 0.18]
vecinos_predictores:
    Peso máximo al despegue (MTOW): [24.00, 25.00, 32.00, 18.50, 31.58, 28.00]
    Peso Vacio (MTOW - payload): [19.00, 20.00, 22.00, 10.00, 25.58, 22.00]
    Payload: [5.00, 5.00, 10.00, 8.50, 6.00, 6.00]
    Área del ala: [nan, nan, nan, nan, nan, 1.00]
    Envergadura: [3.90, 3.20, 3.50, 3.38, 4.35, 2.93]
    Longitud del fuselaje: [nan, 1.98, 1.88, 1.67, 2.18, 2.03]
    Autonomía de la aeronave (h): [4.50, 4.00, 2.80, 3.20, 3.50, 3.00]
    Alcance de la aeronave (km): [405.00, 300.00, 252.00, 319.10, 244.44, 259.20]
    Velocidad máxima (m/s IAS): [33.00, nan, 33.00, 33.30, nan, 30.00]
    Rango de comunicación: [30.00, 10.00, 30.00, nan, 200.00, nan]
Iteración imputación:   1.00
</t>
      </text>
    </comment>
    <comment ref="M32" authorId="1" shapeId="0">
      <text>
        <t xml:space="preserve">=== IMPUTED VALUE ===
Aeronave:   Skyeye 3600
Parámetro:   Alcance de la aeronave (km)
Valor imputado:   315.96
Confianza:   0.32
Método predictivo:   Similitud
Iteración imputación:   1.00
variable_independiente_1:   None
=== SIMILARITY DETAILS ===
Aeronave:   Skyeye 3600
Parámetro:   Alcance de la aeronave (km)
Valor imputado:   315.96
Confianza:   0.32
Vecinos entrenamiento: [V39, T-Drones VA32, V35, YANGDA Sky Whale Mini Electric Long Endurance VTOL Drone, JOUAV CW-25E, Skyeye 2930 VTOL]
k:   6.00
Penalizacion_k:   0.83
Confianza Similitud:   0.42
Confianza Datos:   0.77
Confianza CV:   0.63
CV:   0.19
Dispersión:   55.34
Advertencia:   confianza_baja
Método predictivo:   Similitud
Familia:   Filtrado directo
coeficientes_similitud: [0.62, 0.43, 0.40, 0.21, 0.19, 0.18]
valores_vecinos: [405.00, 300.00, 252.00, 319.10, 244.44, 259.20]
aeronaves_similares_detalle:
  - Item 1:
        aeronave:   V39
        coeficiente_similitud:   0.62
        valor_parametro:   405.00
        parametros_validos:   5.00
        familias_cumplidas:   3.00
        diferencias_promedio:   15.63
        razon_aceptacion:   Cumple ≥3 familias
  - Item 2:
        aeronave:   T-Drones VA32
        coeficiente_similitud:   0.43
        valor_parametro:   300.00
        parametros_validos:   6.00
        familias_cumplidas:   3.00
        diferencias_promedio:   19.08
        razon_aceptacion:   Cumple ≥3 familias
  - Item 3:
        aeronave:   V35
        coeficiente_similitud:   0.40
        valor_parametro:   252.00
        parametros_validos:   6.00
        familias_cumplidas:   3.00
        diferencias_promedio:   16.92
        razon_aceptacion:   Cumple ≥3 familias
  - Item 4:
        aeronave:   YANGDA Sky Whale Mini Electric Long Endurance VTOL Drone
        coeficiente_similitud:   0.21
        valor_parametro:   319.10
        parametros_validos:   6.00
        familias_cumplidas:   3.00
        diferencias_promedio:   26.88
        razon_aceptacion:   Cumple ≥3 familias
  - Item 5:
        aeronave:   JOUAV CW-25E
        coeficiente_similitud:   0.19
        valor_parametro:   244.44
        parametros_validos:   6.00
        familias_cumplidas:   3.00
        diferencias_promedio:   25.06
        razon_aceptacion:   Cumple ≥3 familias
  - Item 6:
        aeronave:   Skyeye 2930 VTOL
        coeficiente_similitud:   0.18
        valor_parametro:   259.20
        parametros_validos:   7.00
        familias_cumplidas:   3.00
        diferencias_promedio:   22.48
        razon_aceptacion:   Cumple ≥3 familias
sim_vals: [0.62, 0.43, 0.40, 0.21, 0.19, 0.18]
vecinos_predictores:
    Peso máximo al despegue (MTOW): [24.00, 25.00, 32.00, 18.50, 31.58, 28.00]
    Peso Vacio (MTOW - payload): [19.00, 20.00, 22.00, 10.00, 25.58, 22.00]
    Payload: [5.00, 5.00, 10.00, 8.50, 6.00, 6.00]
    Área del ala: [nan, nan, nan, nan, nan, 1.00]
    Envergadura: [3.90, 3.20, 3.50, 3.38, 4.35, 2.93]
    Longitud del fuselaje: [nan, 1.98, 1.88, 1.67, 2.18, 2.03]
    Autonomía de la aeronave (h): [4.50, 4.00, 2.80, 3.20, 3.50, 3.00]
    Velocidad a la que se realiza el crucero (m/s TAS): [26.93, 23.70, 26.93, 29.84, 20.90, 25.85]
    Velocidad máxima (m/s IAS): [33.00, nan, 33.00, 33.30, nan, 30.00]
    Rango de comunicación: [30.00, 10.00, 30.00, nan, 200.00, nan]
Iteración imputación:   1.00
</t>
      </text>
    </comment>
    <comment ref="O32" authorId="1" shapeId="0">
      <text>
        <t xml:space="preserve">=== IMPUTED VALUE ===
Aeronave:   Skyeye 3600
Parámetro:   Velocidad máxima (m/s IAS)
Valor imputado:   32.66
Confianza:   0.29
Método predictivo:   Similitud
Iteración imputación:   1.00
variable_independiente_1:   None
=== SIMILARITY DETAILS ===
Aeronave:   Skyeye 3600
Parámetro:   Velocidad máxima (m/s IAS)
Valor imputado:   32.66
Confianza:   0.29
Vecinos entrenamiento: [V39, V35, YANGDA Sky Whale Mini Electric Long Endurance VTOL Drone, Skyeye 2930 VTOL]
k:   4.00
Penalizacion_k:   0.53
Confianza Similitud:   0.44
Confianza Datos:   0.65
Confianza CV:   0.92
CV:   0.04
Dispersión:   1.35
Advertencia:   confianza_baja
Método predictivo:   Similitud
Familia:   Filtrado directo
coeficientes_similitud: [0.62, 0.40, 0.21, 0.18]
valores_vecinos: [33.00, 33.00, 33.30, 30.00]
aeronaves_similares_detalle:
  - Item 1:
        aeronave:   V39
        coeficiente_similitud:   0.62
        valor_parametro:   33.00
        parametros_validos:   5.00
        familias_cumplidas:   3.00
        diferencias_promedio:   15.63
        razon_aceptacion:   Cumple ≥3 familias
  - Item 2:
        aeronave:   V35
        coeficiente_similitud:   0.40
        valor_parametro:   33.00
        parametros_validos:   6.00
        familias_cumplidas:   3.00
        diferencias_promedio:   16.92
        razon_aceptacion:   Cumple ≥3 familias
  - Item 3:
        aeronave:   YANGDA Sky Whale Mini Electric Long Endurance VTOL Drone
        coeficiente_similitud:   0.21
        valor_parametro:   33.30
        parametros_validos:   6.00
        familias_cumplidas:   3.00
        diferencias_promedio:   26.88
        razon_aceptacion:   Cumple ≥3 familias
  - Item 4:
        aeronave:   Skyeye 2930 VTOL
        coeficiente_similitud:   0.18
        valor_parametro:   30.00
        parametros_validos:   7.00
        familias_cumplidas:   3.00
        diferencias_promedio:   22.48
        razon_aceptacion:   Cumple ≥3 familias
sim_vals: [0.62, 0.40, 0.21, 0.18]
vecinos_predictores:
    Peso máximo al despegue (MTOW): [24.00, 32.00, 18.50, 28.00]
    Peso Vacio (MTOW - payload): [19.00, 22.00, 10.00, 22.00]
    Payload: [5.00, 10.00, 8.50, 6.00]
    Área del ala: [nan, nan, nan, 1.00]
    Envergadura: [3.90, 3.50, 3.38, 2.93]
    Longitud del fuselaje: [nan, 1.88, 1.67, 2.03]
    Autonomía de la aeronave (h): [4.50, 2.80, 3.20, 3.00]
    Alcance de la aeronave (km): [405.00, 252.00, 319.10, 259.20]
    Velocidad a la que se realiza el crucero (m/s TAS): [26.93, 26.93, 29.84, 25.85]
    Rango de comunicación: [30.00, 30.00, nan, nan]
Iteración imputación:   1.00
</t>
      </text>
    </comment>
    <comment ref="AA32" authorId="1" shapeId="0">
      <text>
        <t xml:space="preserve">=== CÁLCULO APLICADO ===
formula:   W0 = MTOW - Payload
inputs:
    MTOW:   28.00
    Payload:   10.00
</t>
      </text>
    </comment>
    <comment ref="AD32" authorId="1" shapeId="0">
      <text>
        <t xml:space="preserve">=== IMPUTED VALUE ===
Aeronave:   Skyeye 3600
Parámetro:   Rango de comunicación
Valor imputado:   47.59
Confianza:   0.23
Método predictivo:   Similitud
Iteración imputación:   1.00
variable_independiente_1:   None
=== SIMILARITY DETAILS ===
Aeronave:   Skyeye 3600
Parámetro:   Rango de comunicación
Valor imputado:   47.59
Confianza:   0.23
Vecinos entrenamiento: [V39, P550, T-Drones VA32, V35, JOUAV CW-25E]
k:   5.00
Penalizacion_k:   0.69
Confianza Similitud:   0.47
Confianza Datos:   0.48
Confianza CV:   0.00
CV:   1.04
Dispersión:   68.88
Advertencia:   confianza_baja, alta_variabilidad
Método predictivo:   Similitud
Familia:   Filtrado directo
coeficientes_similitud: [0.62, 0.48, 0.43, 0.40, 0.19]
valores_vecinos: [30.00, 60.00, 10.00, 30.00, 200.00]
aeronaves_similares_detalle:
  - Item 1:
        aeronave:   V39
        coeficiente_similitud:   0.62
        valor_parametro:   30.00
        parametros_validos:   5.00
        familias_cumplidas:   3.00
        diferencias_promedio:   15.63
        razon_aceptacion:   Cumple ≥3 familias
  - Item 2:
        aeronave:   P550
        coeficiente_similitud:   0.48
        valor_parametro:   60.00
        parametros_validos:   6.00
        familias_cumplidas:   3.00
        diferencias_promedio:   18.65
        razon_aceptacion:   Cumple ≥3 familias
  - Item 3:
        aeronave:   T-Drones VA32
        coeficiente_similitud:   0.43
        valor_parametro:   10.00
        parametros_validos:   6.00
        familias_cumplidas:   3.00
        diferencias_promedio:   19.08
        razon_aceptacion:   Cumple ≥3 familias
  - Item 4:
        aeronave:   V35
        coeficiente_similitud:   0.40
        valor_parametro:   30.00
        parametros_validos:   6.00
        familias_cumplidas:   3.00
        diferencias_promedio:   16.92
        razon_aceptacion:   Cumple ≥3 familias
  - Item 5:
        aeronave:   JOUAV CW-25E
        coeficiente_similitud:   0.19
        valor_parametro:   200.00
        parametros_validos:   6.00
        familias_cumplidas:   3.00
        diferencias_promedio:   25.06
        razon_aceptacion:   Cumple ≥3 familias
sim_vals: [0.62, 0.48, 0.43, 0.40, 0.19]
vecinos_predictores:
    Peso máximo al despegue (MTOW): [24.00, 25.00, 25.00, 32.00, 31.58]
    Peso Vacio (MTOW - payload): [19.00, 18.20, 20.00, 22.00, 25.58]
    Payload: [5.00, 6.80, 5.00, 10.00, 6.00]
    Envergadura: [3.90, 5.20, 3.20, 3.50, 4.35]
    Longitud del fuselaje: [nan, 2.80, 1.98, 1.88, 2.18]
    Autonomía de la aeronave (h): [4.50, 5.00, 4.00, 2.80, 3.50]
    Alcance de la aeronave (km): [405.00, nan, 300.00, 252.00, 244.44]
    Velocidad a la que se realiza el crucero (m/s TAS): [26.93, nan, 23.70, 26.93, 20.90]
    Velocidad máxima (m/s IAS): [33.00, nan, nan, 33.00, nan]
Iteración imputación:   1.00
</t>
      </text>
    </comment>
    <comment ref="C33" authorId="1" shapeId="0">
      <text>
        <t xml:space="preserve">=== CÁLCULO APLICADO ===
formula:   Altitud asumida = 5000 pies
inputs:
</t>
      </text>
    </comment>
    <comment ref="D33" authorId="1" shapeId="0">
      <text>
        <t xml:space="preserve">=== CÁLCULO APLICADO ===
formula:   TAS_5000 = IAS / sqrt(σ_5000)
inputs:
    IAS:   30.00
    σ_5000:   0.86
</t>
      </text>
    </comment>
    <comment ref="AA33" authorId="1" shapeId="0">
      <text>
        <t xml:space="preserve">=== CÁLCULO APLICADO ===
formula:   W0 = MTOW - Payload
inputs:
    MTOW:   40.00
    Payload:   10.00
</t>
      </text>
    </comment>
    <comment ref="AD33" authorId="1" shapeId="0">
      <text>
        <t xml:space="preserve">=== IMPUTED VALUE ===
Aeronave:   Skyeye 3600 VTOL
Parámetro:   Rango de comunicación
Valor imputado:   63.97
Confianza:   0.08
Método predictivo:   Similitud
Iteración imputación:   1.00
variable_independiente_1:   None
=== SIMILARITY DETAILS ===
Aeronave:   Skyeye 3600 VTOL
Parámetro:   Rango de comunicación
Valor imputado:   63.97
Confianza:   0.08
Vecinos entrenamiento: [V39, T-Drones VA32, JOUAV CW-25E, P550]
k:   4.00
Penalizacion_k:   0.53
Confianza Similitud:   0.20
Confianza Datos:   0.37
Confianza CV:   0.00
CV:   0.99
Dispersión:   74.33
Advertencia:   confianza_baja, alta_variabilidad
Método predictivo:   Similitud
Familia:   Filtrado directo
coeficientes_similitud: [0.26, 0.22, 0.16, 0.10]
valores_vecinos: [30.00, 10.00, 200.00, 60.00]
aeronaves_similares_detalle:
  - Item 1:
        aeronave:   V39
        coeficiente_similitud:   0.26
        valor_parametro:   30.00
        parametros_validos:   8.00
        familias_cumplidas:   3.00
        diferencias_promedio:   26.46
        razon_aceptacion:   Cumple ≥3 familias
  - Item 2:
        aeronave:   T-Drones VA32
        coeficiente_similitud:   0.22
        valor_parametro:   10.00
        parametros_validos:   8.00
        familias_cumplidas:   3.00
        diferencias_promedio:   26.27
        razon_aceptacion:   Cumple ≥3 familias
  - Item 3:
        aeronave:   JOUAV CW-25E
        coeficiente_similitud:   0.16
        valor_parametro:   200.00
        parametros_validos:   8.00
        familias_cumplidas:   3.00
        diferencias_promedio:   25.26
        razon_aceptacion:   Cumple ≥3 familias
  - Item 4:
        aeronave:   P550
        coeficiente_similitud:   0.10
        valor_parametro:   60.00
        parametros_validos:   6.00
        familias_cumplidas:   3.00
        diferencias_promedio:   30.94
        razon_aceptacion:   Cumple ≥3 familias
sim_vals: [0.26, 0.22, 0.16, 0.10]
vecinos_predictores:
    Peso máximo al despegue (MTOW): [24.00, 25.00, 31.58, 25.00]
    Peso Vacio (MTOW - payload): [19.00, 20.00, 25.58, 18.20]
    Payload: [5.00, 5.00, 6.00, 6.80]
    Envergadura: [3.90, 3.20, 4.35, 5.20]
    Longitud del fuselaje: [nan, 1.98, 2.18, 2.80]
    Autonomía de la aeronave (h): [4.50, 4.00, 3.50, 5.00]
    Alcance de la aeronave (km): [405.00, 300.00, 244.44, nan]
    Velocidad a la que se realiza el crucero (m/s TAS): [26.93, 23.70, 20.90, nan]
    Velocidad máxima (m/s IAS): [33.00, nan, nan, nan]
Iteración imputación:   1.00
</t>
      </text>
    </comment>
    <comment ref="C34" authorId="1" shapeId="0">
      <text>
        <t xml:space="preserve">=== CÁLCULO APLICADO ===
formula:   Altitud asumida = 5000 pies
inputs:
</t>
      </text>
    </comment>
    <comment ref="D34" authorId="1" shapeId="0">
      <text>
        <t xml:space="preserve">=== CÁLCULO APLICADO ===
formula:   TAS_5000 = IAS / sqrt(σ_5000)
inputs:
    IAS:   33.00
    σ_5000:   0.86
</t>
      </text>
    </comment>
    <comment ref="M34" authorId="1" shapeId="0">
      <text>
        <t xml:space="preserve">=== CÁLCULO APLICADO ===
formula:   R[km] = h*3600*V/1000
inputs:
    Autonomía[h]:   8.00
    Velocidad[m/s]:   33.00
</t>
      </text>
    </comment>
    <comment ref="AA34" authorId="1" shapeId="0">
      <text>
        <t xml:space="preserve">=== CÁLCULO APLICADO ===
formula:   W0 = MTOW - Payload
inputs:
    MTOW:   90.00
    Payload:   20.00
</t>
      </text>
    </comment>
    <comment ref="C35" authorId="1" shapeId="0">
      <text>
        <t xml:space="preserve">=== CÁLCULO APLICADO ===
formula:   Altitud asumida = 5000 pies
inputs:
</t>
      </text>
    </comment>
    <comment ref="D35" authorId="1" shapeId="0">
      <text>
        <t xml:space="preserve">=== CÁLCULO APLICADO ===
formula:   TAS_5000 = IAS / sqrt(σ_5000)
inputs:
    IAS:   28.00
    σ_5000:   0.86
</t>
      </text>
    </comment>
    <comment ref="AA35" authorId="1" shapeId="0">
      <text>
        <t xml:space="preserve">=== CÁLCULO APLICADO ===
formula:   W0 = MTOW - Payload
inputs:
    MTOW:   100.00
    Payload:   25.00
</t>
      </text>
    </comment>
    <comment ref="C36" authorId="1" shapeId="0">
      <text>
        <t xml:space="preserve">=== CÁLCULO APLICADO ===
formula:   Altitud asumida = 5000 pies
inputs:
</t>
      </text>
    </comment>
    <comment ref="D36" authorId="1" shapeId="0">
      <text>
        <t xml:space="preserve">=== CÁLCULO APLICADO ===
formula:   TAS_5000 = IAS / sqrt(σ_5000)
inputs:
    IAS:   35.00
    σ_5000:   0.86
</t>
      </text>
    </comment>
    <comment ref="M36" authorId="1" shapeId="0">
      <text>
        <t xml:space="preserve">=== IMPUTED VALUE ===
Aeronave:   Skyeye 5000 VTOL octo
Parámetro:   Alcance de la aeronave (km)
Valor imputado:   1557.55
Confianza:   0.38
Método predictivo:   Similitud
Iteración imputación:   1.00
variable_independiente_1:   None
=== SIMILARITY DETAILS ===
Aeronave:   Skyeye 5000 VTOL octo
Parámetro:   Alcance de la aeronave (km)
Valor imputado:   1557.55
Confianza:   0.38
Vecinos entrenamiento: [Skyeye 5000, T-20, AeroVironment JUMP 20-X, AeroVironment JUMP 20, RQ Nan 21A Blackjack, L3Harris FVR–90, Integrator]
k:   7.00
Penalizacion_k:   0.92
Confianza Similitud:   0.53
Confianza Datos:   0.73
Confianza CV:   0.28
CV:   0.36
Dispersión:   606.44
Advertencia:   confianza_baja
Método predictivo:   Similitud
Familia:   Filtrado directo
coeficientes_similitud: [0.72, 0.59, 0.56, 0.53, 0.24, 0.24, 0.14]
valores_vecinos: [950.40, 2663.71, 1207.44, 1207.44, 1779.84, 1500.00, 2445.12]
aeronaves_similares_detalle:
  - Item 1:
        aeronave:   Skyeye 5000
        coeficiente_similitud:   0.72
        valor_parametro:   950.40
        parametros_validos:   9.00
        familias_cumplidas:   3.00
        diferencias_promedio:   8.58
        razon_aceptacion:   Cumple ≥3 familias
  - Item 2:
        aeronave:   T-20
        coeficiente_similitud:   0.59
        valor_parametro:   2663.71
        parametros_validos:   7.00
        familias_cumplidas:   3.00
        diferencias_promedio:   10.21
        razon_aceptacion:   Cumple ≥3 familias
  - Item 3:
        aeronave:   AeroVironment JUMP 20-X
        coeficiente_similitud:   0.56
        valor_parametro:   1207.44
        parametros_validos:   6.00
        familias_cumplidas:   3.00
        diferencias_promedio:   11.76
        razon_aceptacion:   Cumple ≥3 familias
  - Item 4:
        aeronave:   AeroVironment JUMP 20
        coeficiente_similitud:   0.53
        valor_parametro:   1207.44
        parametros_validos:   6.00
        familias_cumplidas:   3.00
        diferencias_promedio:   12.31
        razon_aceptacion:   Cumple ≥3 familias
  - Item 5:
        aeronave:   RQ Nan 21A Blackjack
        coeficiente_similitud:   0.24
        valor_parametro:   1779.84
        parametros_validos:   7.00
        familias_cumplidas:   3.00
        diferencias_promedio:   24.60
        razon_aceptacion:   Cumple ≥3 familias
  - Item 6:
        aeronave:   L3Harris FVR–90
        coeficiente_similitud:   0.24
        valor_parametro:   1500.00
        parametros_validos:   6.00
        familias_cumplidas:   3.00
        diferencias_promedio:   28.56
        razon_aceptacion:   Cumple ≥3 familias
  - Item 7:
        aeronave:   Integrator
        coeficiente_similitud:   0.14
        valor_parametro:   2445.12
        parametros_validos:   7.00
        familias_cumplidas:   3.00
        diferencias_promedio:   21.70
        razon_aceptacion:   Cumple ≥3 familias
sim_vals: [0.72, 0.59, 0.56, 0.53, 0.24, 0.24, 0.14]
vecinos_predictores:
    Peso máximo al despegue (MTOW): [90.00, 84.00, 97.50, 97.50, 61.00, 54.40, 74.80]
    Peso Vacio (MTOW - payload): [70.00, 69.00, 83.90, 84.50, 43.30, 44.40, 56.80]
    Payload: [20.00, 15.00, 13.60, 13.00, 17.70, 10.00, 18.00]
    Área del ala: [2.62, nan, nan, nan, nan, nan, nan]
    Envergadura: [5.00, 5.30, 5.70, 5.70, 4.80, 4.70, 4.80]
    Longitud del fuselaje: [3.50, 2.90, 2.90, 2.90, 2.50, nan, 2.50]
    Ancho del fuselaje: [0.38, nan, nan, nan, nan, nan, nan]
    Autonomía de la aeronave (h): [8.00, 24.00, 13.00, 13.00, 16.00, 16.00, 24.00]
    Velocidad a la que se realiza el crucero (m/s TAS): [35.55, 33.21, 27.79, 27.79, 33.29, 27.69, 30.49]
    Velocidad máxima (m/s IAS): [42.00, 38.61, nan, nan, 46.30, 33.40, 46.30]
    Rango de comunicación: [nan, 89.00, 185.00, 185.00, 92.60, 100.00, 92.60]
    Potencia HP: [nan, 10.00, nan, nan, 8.00, nan, nan]
Iteración imputación:   1.00
</t>
      </text>
    </comment>
    <comment ref="N36" authorId="1" shapeId="0">
      <text>
        <t xml:space="preserve">=== IMPUTED VALUE ===
Aeronave:   Skyeye 5000 VTOL octo
Parámetro:   Autonomía de la aeronave (h)
Valor imputado:   14.96
Confianza:   0.39
Método predictivo:   Similitud
Iteración imputación:   1.00
variable_independiente_1:   None
=== SIMILARITY DETAILS ===
Aeronave:   Skyeye 5000 VTOL octo
Parámetro:   Autonomía de la aeronave (h)
Valor imputado:   14.96
Confianza:   0.39
Vecinos entrenamiento: [Skyeye 5000, T-20, AeroVironment JUMP 20-X, AeroVironment JUMP 20, RQ Nan 21A Blackjack, L3Harris FVR–90, Integrator]
k:   7.00
Penalizacion_k:   0.92
Confianza Similitud:   0.53
Confianza Datos:   0.74
Confianza CV:   0.33
CV:   0.34
Dispersión:   5.47
Advertencia:   confianza_baja
Método predictivo:   Similitud
Familia:   Filtrado directo
coeficientes_similitud: [0.72, 0.59, 0.56, 0.53, 0.24, 0.24, 0.14]
valores_vecinos: [8.00, 24.00, 13.00, 13.00, 16.00, 16.00, 24.00]
aeronaves_similares_detalle:
  - Item 1:
        aeronave:   Skyeye 5000
        coeficiente_similitud:   0.72
        valor_parametro:   8.00
        parametros_validos:   9.00
        familias_cumplidas:   3.00
        diferencias_promedio:   8.58
        razon_aceptacion:   Cumple ≥3 familias
  - Item 2:
        aeronave:   T-20
        coeficiente_similitud:   0.59
        valor_parametro:   24.00
        parametros_validos:   7.00
        familias_cumplidas:   3.00
        diferencias_promedio:   10.21
        razon_aceptacion:   Cumple ≥3 familias
  - Item 3:
        aeronave:   AeroVironment JUMP 20-X
        coeficiente_similitud:   0.56
        valor_parametro:   13.00
        parametros_validos:   6.00
        familias_cumplidas:   3.00
        diferencias_promedio:   11.76
        razon_aceptacion:   Cumple ≥3 familias
  - Item 4:
        aeronave:   AeroVironment JUMP 20
        coeficiente_similitud:   0.53
        valor_parametro:   13.00
        parametros_validos:   6.00
        familias_cumplidas:   3.00
        diferencias_promedio:   12.31
        razon_aceptacion:   Cumple ≥3 familias
  - Item 5:
        aeronave:   RQ Nan 21A Blackjack
        coeficiente_similitud:   0.24
        valor_parametro:   16.00
        parametros_validos:   7.00
        familias_cumplidas:   3.00
        diferencias_promedio:   24.60
        razon_aceptacion:   Cumple ≥3 familias
  - Item 6:
        aeronave:   L3Harris FVR–90
        coeficiente_similitud:   0.24
        valor_parametro:   16.00
        parametros_validos:   6.00
        familias_cumplidas:   3.00
        diferencias_promedio:   28.56
        razon_aceptacion:   Cumple ≥3 familias
  - Item 7:
        aeronave:   Integrator
        coeficiente_similitud:   0.14
        valor_parametro:   24.00
        parametros_validos:   7.00
        familias_cumplidas:   3.00
        diferencias_promedio:   21.70
        razon_aceptacion:   Cumple ≥3 familias
sim_vals: [0.72, 0.59, 0.56, 0.53, 0.24, 0.24, 0.14]
vecinos_predictores:
    Peso máximo al despegue (MTOW): [90.00, 84.00, 97.50, 97.50, 61.00, 54.40, 74.80]
    Peso Vacio (MTOW - payload): [70.00, 69.00, 83.90, 84.50, 43.30, 44.40, 56.80]
    Payload: [20.00, 15.00, 13.60, 13.00, 17.70, 10.00, 18.00]
    Área del ala: [2.62, nan, nan, nan, nan, nan, nan]
    Envergadura: [5.00, 5.30, 5.70, 5.70, 4.80, 4.70, 4.80]
    Longitud del fuselaje: [3.50, 2.90, 2.90, 2.90, 2.50, nan, 2.50]
    Ancho del fuselaje: [0.38, nan, nan, nan, nan, nan, nan]
    Alcance de la aeronave (km): [950.40, 2663.71, 1207.44, 1207.44, 1779.84, 1500.00, 2445.12]
    Velocidad a la que se realiza el crucero (m/s TAS): [35.55, 33.21, 27.79, 27.79, 33.29, 27.69, 30.49]
    Velocidad máxima (m/s IAS): [42.00, 38.61, nan, nan, 46.30, 33.40, 46.30]
    Rango de comunicación: [nan, 89.00, 185.00, 185.00, 92.60, 100.00, 92.60]
    Potencia HP: [nan, 10.00, nan, nan, 8.00, nan, nan]
Iteración imputación:   1.00
</t>
      </text>
    </comment>
    <comment ref="AA36" authorId="1" shapeId="0">
      <text>
        <t xml:space="preserve">=== CÁLCULO APLICADO ===
formula:   W0 = MTOW - Payload
inputs:
    MTOW:   100.00
    Payload:   15.00
</t>
      </text>
    </comment>
    <comment ref="AD36" authorId="1" shapeId="0">
      <text>
        <t xml:space="preserve">=== IMPUTED VALUE ===
Aeronave:   Skyeye 5000 VTOL octo
Parámetro:   Rango de comunicación
Valor imputado:   136.18
Confianza:   0.31
Método predictivo:   Similitud
Iteración imputación:   1.00
variable_independiente_1:   None
=== SIMILARITY DETAILS ===
Aeronave:   Skyeye 5000 VTOL octo
Parámetro:   Rango de comunicación
Valor imputado:   136.18
Confianza:   0.31
Vecinos entrenamiento: [T-20, AeroVironment JUMP 20-X, AeroVironment JUMP 20, RQ Nan 21A Blackjack, L3Harris FVR–90, Integrator]
k:   6.00
Penalizacion_k:   0.83
Confianza Similitud:   0.47
Confianza Datos:   0.67
Confianza CV:   0.30
CV:   0.35
Dispersión:   43.23
Advertencia:   confianza_baja
Método predictivo:   Similitud
Familia:   Filtrado directo
coeficientes_similitud: [0.59, 0.56, 0.53, 0.24, 0.24, 0.14]
valores_vecinos: [89.00, 185.00, 185.00, 92.60, 100.00, 92.60]
aeronaves_similares_detalle:
  - Item 1:
        aeronave:   T-20
        coeficiente_similitud:   0.59
        valor_parametro:   89.00
        parametros_validos:   7.00
        familias_cumplidas:   3.00
        diferencias_promedio:   10.21
        razon_aceptacion:   Cumple ≥3 familias
  - Item 2:
        aeronave:   AeroVironment JUMP 20-X
        coeficiente_similitud:   0.56
        valor_parametro:   185.00
        parametros_validos:   6.00
        familias_cumplidas:   3.00
        diferencias_promedio:   11.76
        razon_aceptacion:   Cumple ≥3 familias
  - Item 3:
        aeronave:   AeroVironment JUMP 20
        coeficiente_similitud:   0.53
        valor_parametro:   185.00
        parametros_validos:   6.00
        familias_cumplidas:   3.00
        diferencias_promedio:   12.31
        razon_aceptacion:   Cumple ≥3 familias
  - Item 4:
        aeronave:   RQ Nan 21A Blackjack
        coeficiente_similitud:   0.24
        valor_parametro:   92.60
        parametros_validos:   7.00
        familias_cumplidas:   3.00
        diferencias_promedio:   24.60
        razon_aceptacion:   Cumple ≥3 familias
  - Item 5:
        aeronave:   L3Harris FVR–90
        coeficiente_similitud:   0.24
        valor_parametro:   100.00
        parametros_validos:   6.00
        familias_cumplidas:   3.00
        diferencias_promedio:   28.56
        razon_aceptacion:   Cumple ≥3 familias
  - Item 6:
        aeronave:   Integrator
        coeficiente_similitud:   0.14
        valor_parametro:   92.60
        parametros_validos:   7.00
        familias_cumplidas:   3.00
        diferencias_promedio:   21.70
        razon_aceptacion:   Cumple ≥3 familias
sim_vals: [0.59, 0.56, 0.53, 0.24, 0.24, 0.14]
vecinos_predictores:
    Peso máximo al despegue (MTOW): [84.00, 97.50, 97.50, 61.00, 54.40, 74.80]
    Peso Vacio (MTOW - payload): [69.00, 83.90, 84.50, 43.30, 44.40, 56.80]
    Payload: [15.00, 13.60, 13.00, 17.70, 10.00, 18.00]
    Envergadura: [5.30, 5.70, 5.70, 4.80, 4.70, 4.80]
    Longitud del fuselaje: [2.90, 2.90, 2.90, 2.50, nan, 2.50]
    Autonomía de la aeronave (h): [24.00, 13.00, 13.00, 16.00, 16.00, 24.00]
    Alcance de la aeronave (km): [2663.71, 1207.44, 1207.44, 1779.84, 1500.00, 2445.12]
    Velocidad a la que se realiza el crucero (m/s TAS): [33.21, 27.79, 27.79, 33.29, 27.69, 30.49]
    Velocidad máxima (m/s IAS): [38.61, nan, nan, 46.30, 33.40, 46.30]
    Potencia HP: [10.00, nan, nan, 8.00, nan, nan]
Iteración imputación:   1.00
</t>
      </text>
    </comment>
    <comment ref="C37" authorId="1" shapeId="0">
      <text>
        <t xml:space="preserve">=== CÁLCULO APLICADO ===
formula:   Altitud asumida = 5000 pies
inputs:
</t>
      </text>
    </comment>
    <comment ref="D37" authorId="1" shapeId="0">
      <text>
        <t xml:space="preserve">=== CÁLCULO APLICADO ===
formula:   TAS_5000 = IAS / sqrt(σ_5000)
inputs:
    IAS:   30.00
    σ_5000:   0.86
</t>
      </text>
    </comment>
    <comment ref="M37" authorId="1" shapeId="0">
      <text>
        <t xml:space="preserve">=== CÁLCULO APLICADO ===
formula:   R[km] = h*3600*V/1000
inputs:
    Autonomía[h]:   5.00
    Velocidad[m/s]:   30.00
</t>
      </text>
    </comment>
    <comment ref="AA37" authorId="1" shapeId="0">
      <text>
        <t xml:space="preserve">=== CÁLCULO APLICADO ===
formula:   W0 = MTOW - Payload
inputs:
    MTOW:   100.00
    Payload:   25.00
</t>
      </text>
    </comment>
    <comment ref="C38" authorId="1" shapeId="0">
      <text>
        <t xml:space="preserve">=== CÁLCULO APLICADO ===
formula:   Altitud asumida = 5000 pies
inputs:
</t>
      </text>
    </comment>
    <comment ref="D38" authorId="1" shapeId="0">
      <text>
        <t xml:space="preserve">=== CÁLCULO APLICADO ===
formula:   TAS_5000 = IAS / sqrt(σ_5000)
inputs:
    IAS:   20.00
    σ_5000:   0.86
</t>
      </text>
    </comment>
    <comment ref="M38" authorId="1" shapeId="0">
      <text>
        <t xml:space="preserve">=== CÁLCULO APLICADO ===
formula:   R[km] = h*3600*V/1000
inputs:
    Autonomía[h]:   6.00
    Velocidad[m/s]:   20.00
</t>
      </text>
    </comment>
    <comment ref="C39" authorId="1" shapeId="0">
      <text>
        <t xml:space="preserve">=== CÁLCULO APLICADO ===
formula:   Altitud asumida = 5000 pies
inputs:
</t>
      </text>
    </comment>
    <comment ref="D39" authorId="1" shapeId="0">
      <text>
        <t xml:space="preserve">=== CÁLCULO APLICADO ===
formula:   TAS_5000 = IAS / sqrt(σ_5000)
inputs:
    IAS:   20.00
    σ_5000:   0.86
</t>
      </text>
    </comment>
    <comment ref="M39" authorId="1" shapeId="0">
      <text>
        <t xml:space="preserve">=== CÁLCULO APLICADO ===
formula:   R[km] = h*3600*V/1000
inputs:
    Autonomía[h]:   12.00
    Velocidad[m/s]:   20.00
</t>
      </text>
    </comment>
    <comment ref="C40" authorId="1" shapeId="0">
      <text>
        <t xml:space="preserve">=== CÁLCULO APLICADO ===
formula:   Altitud asumida = 5000 pies
inputs:
</t>
      </text>
    </comment>
    <comment ref="D40" authorId="1" shapeId="0">
      <text>
        <t xml:space="preserve">=== CÁLCULO APLICADO ===
formula:   TAS_5000 = IAS / sqrt(σ_5000)
inputs:
    IAS:   25.00
    σ_5000:   0.86
</t>
      </text>
    </comment>
    <comment ref="M40" authorId="1" shapeId="0">
      <text>
        <t xml:space="preserve">=== CÁLCULO APLICADO ===
formula:   R[km] = h*3600*V/1000
inputs:
    Autonomía[h]:   20.00
    Velocidad[m/s]:   25.00
</t>
      </text>
    </comment>
    <comment ref="C41" authorId="1" shapeId="0">
      <text>
        <t xml:space="preserve">=== CÁLCULO APLICADO ===
formula:   Altitud asumida = 5000 pies
inputs:
</t>
      </text>
    </comment>
    <comment ref="D41" authorId="1" shapeId="0">
      <text>
        <t xml:space="preserve">=== CÁLCULO APLICADO ===
formula:   TAS_5000 = IAS / sqrt(σ_5000)
inputs:
    IAS:   27.70
    σ_5000:   0.86
</t>
      </text>
    </comment>
    <comment ref="AA41" authorId="1" shapeId="0">
      <text>
        <t xml:space="preserve">=== CÁLCULO APLICADO ===
formula:   W0 = MTOW - Payload
inputs:
    MTOW:   75.00
    Payload:   10.00
</t>
      </text>
    </comment>
    <comment ref="C42" authorId="1" shapeId="0">
      <text>
        <t xml:space="preserve">=== CÁLCULO APLICADO ===
formula:   Altitud asumida = 5000 pies
inputs:
</t>
      </text>
    </comment>
    <comment ref="D42" authorId="1" shapeId="0">
      <text>
        <t xml:space="preserve">=== CÁLCULO APLICADO ===
formula:   TAS_5000 = IAS / sqrt(σ_5000)
inputs:
    IAS:   25.00
    σ_5000:   0.86
</t>
      </text>
    </comment>
    <comment ref="N42" authorId="1" shapeId="0">
      <text>
        <t xml:space="preserve">
=== CORRELATION DETAILS ===
Aeronave:   HYFLY H405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AA42" authorId="1" shapeId="0">
      <text>
        <t xml:space="preserve">=== CÁLCULO APLICADO ===
formula:   W0 = MTOW - Payload
inputs:
    MTOW:   25.00
    Payload:   5.00
</t>
      </text>
    </comment>
    <comment ref="C43" authorId="1" shapeId="0">
      <text>
        <t xml:space="preserve">=== CÁLCULO APLICADO ===
formula:   Altitud asumida = 5000 pies
inputs:
</t>
      </text>
    </comment>
    <comment ref="D43" authorId="1" shapeId="0">
      <text>
        <t xml:space="preserve">=== CÁLCULO APLICADO ===
formula:   TAS_5000 = IAS / sqrt(σ_5000)
inputs:
    IAS:   17.00
    σ_5000:   0.86
</t>
      </text>
    </comment>
    <comment ref="M43" authorId="1" shapeId="0">
      <text>
        <t xml:space="preserve">=== CÁLCULO APLICADO ===
formula:   R[km] = h*3600*V/1000
inputs:
    Autonomía[h]:   0.92
    Velocidad[m/s]:   17.00
</t>
      </text>
    </comment>
    <comment ref="AA43" authorId="1" shapeId="0">
      <text>
        <t xml:space="preserve">=== CÁLCULO APLICADO ===
formula:   W0 = MTOW - Payload
inputs:
    MTOW:   7.00
    Payload:   1.00
</t>
      </text>
    </comment>
    <comment ref="C44" authorId="1" shapeId="0">
      <text>
        <t xml:space="preserve">=== CÁLCULO APLICADO ===
formula:   Altitud asumida = 5000 pies
inputs:
</t>
      </text>
    </comment>
    <comment ref="D44" authorId="1" shapeId="0">
      <text>
        <t xml:space="preserve">=== CÁLCULO APLICADO ===
formula:   TAS_5000 = IAS / sqrt(σ_5000)
inputs:
    IAS:   16.94
    σ_5000:   0.86
</t>
      </text>
    </comment>
    <comment ref="M44" authorId="1" shapeId="0">
      <text>
        <t xml:space="preserve">=== CÁLCULO APLICADO ===
formula:   R[km] = h*3600*V/1000
inputs:
    Autonomía[h]:   3.00
    Velocidad[m/s]:   16.94
</t>
      </text>
    </comment>
    <comment ref="O44" authorId="1" shapeId="0">
      <text>
        <t xml:space="preserve">=== IMPUTED VALUE ===
Aeronave:   JOUAV CW-15
Parámetro:   Velocidad máxima (m/s IAS)
Valor imputado:   28.58
Confianza:   0.36
Método predictivo:   Similitud
Iteración imputación:   1.00
variable_independiente_1:   None
=== SIMILARITY DETAILS ===
Aeronave:   JOUAV CW-15
Parámetro:   Velocidad máxima (m/s IAS)
Valor imputado:   28.58
Confianza:   0.36
Vecinos entrenamiento: [Aliaca UAS EVO, Autel Dragonfish Pro, Autel Dragonfish]
k:   3.00
Penalizacion_k:   0.36
Confianza Similitud:   0.67
Confianza Datos:   0.53
Confianza CV:   0.94
CV:   0.03
Dispersión:   0.94
Advertencia:   confianza_baja
Método predictivo:   Similitud
Familia:   Filtrado directo
coeficientes_similitud: [0.81, 0.33, 0.00]
valores_vecinos: [28.00, 30.00, 30.00]
aeronaves_similares_detalle:
  - Item 1:
        aeronave:   Aliaca UAS EVO
        coeficiente_similitud:   0.81
        valor_parametro:   28.00
        parametros_validos:   8.00
        familias_cumplidas:   3.00
        diferencias_promedio:   7.15
        razon_aceptacion:   Cumple ≥3 familias
  - Item 2:
        aeronave:   Autel Dragonfish Pro
        coeficiente_similitud:   0.33
        valor_parametro:   30.00
        parametros_validos:   5.00
        familias_cumplidas:   3.00
        diferencias_promedio:   15.57
        razon_aceptacion:   Cumple ≥3 familias
  - Item 3:
        aeronave:   Autel Dragonfish
        coeficiente_similitud:   0.00
        valor_parametro:   30.00
        parametros_validos:   5.00
        familias_cumplidas:   3.00
        diferencias_promedio:   44.51
        razon_aceptacion:   Cumple ≥3 familias
sim_vals: [0.81, 0.33, 0.00]
vecinos_predictores:
    Peso máximo al despegue (MTOW): [16.00, 19.00, 9.00]
    Peso Vacio (MTOW - payload): [14.50, 16.80, 7.50]
    Payload: [2.00, 2.20, 1.50]
    Envergadura: [3.60, 2.98, 2.30]
    Longitud del fuselaje: [2.10, 1.66, 1.29]
    Autonomía de la aeronave (h): [3.00, 3.00, 1.75]
    Alcance de la aeronave (km): [194.40, nan, nan]
    Velocidad a la que se realiza el crucero (m/s TAS): [19.39, nan, nan]
    Rango de comunicación: [50.00, nan, nan]
Iteración imputación:   1.00
</t>
      </text>
    </comment>
    <comment ref="S44" authorId="1" shapeId="0">
      <text>
        <t xml:space="preserve">=== IMPUTED VALUE ===
Aeronave:   JOUAV CW-15
Parámetro:   Envergadura
Valor imputado:   3.32
Confianza:   0.35
Método predictivo:   Similitud
Iteración imputación:   1.00
variable_independiente_1:   None
=== SIMILARITY DETAILS ===
Aeronave:   JOUAV CW-15
Parámetro:   Envergadura
Valor imputado:   3.32
Confianza:   0.35
Vecinos entrenamiento: [Aliaca UAS EVO, Autel Dragonfish Pro, Vector, Autel Dragonfish]
k:   4.00
Penalizacion_k:   0.53
Confianza Similitud:   0.60
Confianza Datos:   0.58
Confianza CV:   0.68
CV:   0.16
Dispersión:   0.46
Advertencia:   confianza_baja
Método predictivo:   Similitud
Familia:   Filtrado directo
coeficientes_similitud: [0.81, 0.33, 0.22, 0.00]
valores_vecinos: [3.60, 2.98, 2.80, 2.30]
aeronaves_similares_detalle:
  - Item 1:
        aeronave:   Aliaca UAS EVO
        coeficiente_similitud:   0.81
        valor_parametro:   3.60
        parametros_validos:   8.00
        familias_cumplidas:   3.00
        diferencias_promedio:   7.15
        razon_aceptacion:   Cumple ≥3 familias
  - Item 2:
        aeronave:   Autel Dragonfish Pro
        coeficiente_similitud:   0.33
        valor_parametro:   2.98
        parametros_validos:   5.00
        familias_cumplidas:   3.00
        diferencias_promedio:   15.57
        razon_aceptacion:   Cumple ≥3 familias
  - Item 3:
        aeronave:   Vector
        coeficiente_similitud:   0.22
        valor_parametro:   2.80
        parametros_validos:   6.00
        familias_cumplidas:   3.00
        diferencias_promedio:   21.24
        razon_aceptacion:   Cumple ≥3 familias
  - Item 4:
        aeronave:   Autel Dragonfish
        coeficiente_similitud:   0.00
        valor_parametro:   2.30
        parametros_validos:   5.00
        familias_cumplidas:   3.00
        diferencias_promedio:   44.51
        razon_aceptacion:   Cumple ≥3 familias
sim_vals: [0.81, 0.33, 0.22, 0.00]
vecinos_predictores:
    Peso máximo al despegue (MTOW): [16.00, 19.00, 9.50, 9.00]
    Peso Vacio (MTOW - payload): [14.50, 16.80, nan, 7.50]
    Payload: [2.00, 2.20, nan, 1.50]
    Longitud del fuselaje: [2.10, 1.66, 1.50, 1.29]
    Autonomía de la aeronave (h): [3.00, 3.00, 3.00, 1.75]
    Alcance de la aeronave (km): [194.40, nan, 216.00, nan]
    Velocidad a la que se realiza el crucero (m/s TAS): [19.39, nan, 21.55, nan]
    Velocidad máxima (m/s IAS): [28.00, 30.00, nan, 30.00]
    Rango de comunicación: [50.00, nan, 60.00, nan]
Iteración imputación:   1.00
</t>
      </text>
    </comment>
    <comment ref="AA44" authorId="1" shapeId="0">
      <text>
        <t xml:space="preserve">=== CÁLCULO APLICADO ===
formula:   W0 = MTOW - Payload
inputs:
    MTOW:   17.00
    Payload:   3.00
</t>
      </text>
    </comment>
    <comment ref="C45" authorId="1" shapeId="0">
      <text>
        <t xml:space="preserve">=== CÁLCULO APLICADO ===
formula:   Altitud asumida = 5000 pies
inputs:
</t>
      </text>
    </comment>
    <comment ref="D45" authorId="1" shapeId="0">
      <text>
        <t xml:space="preserve">=== CÁLCULO APLICADO ===
formula:   TAS_5000 = IAS / sqrt(σ_5000)
inputs:
    IAS:   19.40
    σ_5000:   0.86
</t>
      </text>
    </comment>
    <comment ref="M45" authorId="1" shapeId="0">
      <text>
        <t xml:space="preserve">=== CÁLCULO APLICADO ===
formula:   R[km] = h*3600*V/1000
inputs:
    Autonomía[h]:   3.50
    Velocidad[m/s]:   19.40
</t>
      </text>
    </comment>
    <comment ref="AA45" authorId="1" shapeId="0">
      <text>
        <t xml:space="preserve">=== CÁLCULO APLICADO ===
formula:   W0 = MTOW - Payload
inputs:
    MTOW:   31.58
    Payload:   6.00
</t>
      </text>
    </comment>
    <comment ref="C46" authorId="1" shapeId="0">
      <text>
        <t xml:space="preserve">=== CÁLCULO APLICADO ===
formula:   Altitud asumida = 5000 pies
inputs:
</t>
      </text>
    </comment>
    <comment ref="D46" authorId="1" shapeId="0">
      <text>
        <t xml:space="preserve">=== CÁLCULO APLICADO ===
formula:   TAS_5000 = IAS / sqrt(σ_5000)
inputs:
    IAS:   22.20
    σ_5000:   0.86
</t>
      </text>
    </comment>
    <comment ref="G46" authorId="1" shapeId="0">
      <text>
        <t xml:space="preserve">=== IMPUTED VALUE ===
Aeronave:   JOUAV CW-25H
Parámetro:   Área del ala
Valor imputado:   1.09
Confianza:   0.14
Método predictivo:   Similitud
Iteración imputación:   1.00
variable_independiente_1:   None
=== SIMILARITY DETAILS ===
Aeronave:   JOUAV CW-25H
Parámetro:   Área del ala
Valor imputado:   1.09
Confianza:   0.14
Vecinos entrenamiento: [Skyeye 2930 VTOL, Stalker VXE30 Fuel Cell, Stalker VXE30 Battery]
k:   3.00
Penalizacion_k:   0.36
Confianza Similitud:   0.28
Confianza Datos:   0.51
Confianza CV:   0.87
CV:   0.07
Dispersión:   0.07
Advertencia:   confianza_baja
Método predictivo:   Similitud
Familia:   Filtrado directo
coeficientes_similitud: [0.32, 0.29, 0.18]
valores_vecinos: [1.00, 1.16, 1.16]
aeronaves_similares_detalle:
  - Item 1:
        aeronave:   Skyeye 2930 VTOL
        coeficiente_similitud:   0.32
        valor_parametro:   1.00
        parametros_validos:   8.00
        familias_cumplidas:   3.00
        diferencias_promedio:   26.11
        razon_aceptacion:   Cumple ≥3 familias
  - Item 2:
        aeronave:   Stalker VXE30 Fuel Cell
        coeficiente_similitud:   0.29
        valor_parametro:   1.16
        parametros_validos:   9.00
        familias_cumplidas:   3.00
        diferencias_promedio:   24.03
        razon_aceptacion:   Cumple ≥3 familias
  - Item 3:
        aeronave:   Stalker VXE30 Battery
        coeficiente_similitud:   0.18
        valor_parametro:   1.16
        parametros_validos:   9.00
        familias_cumplidas:   3.00
        diferencias_promedio:   25.98
        razon_aceptacion:   Cumple ≥3 familias
sim_vals: [0.32, 0.29, 0.18]
vecinos_predictores:
    Peso máximo al despegue (MTOW): [28.00, 19.95, 21.80]
    Peso Vacio (MTOW - payload): [22.00, 17.46, 19.28]
    Payload: [6.00, 2.49, 2.49]
    Envergadura: [2.93, 4.88, 4.88]
    Longitud del fuselaje: [2.03, 2.59, 2.59]
    Ancho del fuselaje: [nan, 0.20, 0.20]
    Relación de aspecto del ala: [nan, 15.33, 15.33]
    Autonomía de la aeronave (h): [3.00, 8.00, 4.00]
    Alcance de la aeronave (km): [259.20, 433.00, 222.00]
    Velocidad a la que se realiza el crucero (m/s TAS): [25.85, 17.34, 17.34]
    Velocidad máxima (m/s IAS): [30.00, 25.03, 25.03]
    Rango de comunicación: [nan, 100.00, 100.00]
Iteración imputación:   1.00
</t>
      </text>
    </comment>
    <comment ref="O46" authorId="1" shapeId="0">
      <text>
        <t xml:space="preserve">=== IMPUTED VALUE ===
Aeronave:   JOUAV CW-25H
Parámetro:   Velocidad máxima (m/s IAS)
Valor imputado:   30.58
Confianza:   0.26
Método predictivo:   Similitud
Iteración imputación:   1.00
variable_independiente_1:   None
=== SIMILARITY DETAILS ===
Aeronave:   JOUAV CW-25H
Parámetro:   Velocidad máxima (m/s IAS)
Valor imputado:   30.58
Confianza:   0.26
Vecinos entrenamiento: [Orbiter 3, Skyeye 2930 VTOL, Stalker VXE30 Fuel Cell, Stalker VXE30 Battery, Autel Dragonfish Pro]
k:   5.00
Penalizacion_k:   0.69
Confianza Similitud:   0.38
Confianza Datos:   0.70
Confianza CV:   0.72
CV:   0.14
Dispersión:   4.06
Advertencia:   confianza_baja
Método predictivo:   Similitud
Familia:   Filtrado directo
coeficientes_similitud: [0.52, 0.32, 0.29, 0.18, 0.00]
valores_vecinos: [36.00, 30.00, 25.03, 25.03, 30.00]
aeronaves_similares_detalle:
  - Item 1:
        aeronave:   Orbiter 3
        coeficiente_similitud:   0.52
        valor_parametro:   36.00
        parametros_validos:   7.00
        familias_cumplidas:   3.00
        diferencias_promedio:   20.65
        razon_aceptacion:   Cumple ≥3 familias
  - Item 2:
        aeronave:   Skyeye 2930 VTOL
        coeficiente_similitud:   0.32
        valor_parametro:   30.00
        parametros_validos:   8.00
        familias_cumplidas:   3.00
        diferencias_promedio:   26.11
        razon_aceptacion:   Cumple ≥3 familias
  - Item 3:
        aeronave:   Stalker VXE30 Fuel Cell
        coeficiente_similitud:   0.29
        valor_parametro:   25.03
        parametros_validos:   9.00
        familias_cumplidas:   3.00
        diferencias_promedio:   24.03
        razon_aceptacion:   Cumple ≥3 familias
  - Item 4:
        aeronave:   Stalker VXE30 Battery
        coeficiente_similitud:   0.18
        valor_parametro:   25.03
        parametros_validos:   9.00
        familias_cumplidas:   3.00
        diferencias_promedio:   25.98
        razon_aceptacion:   Cumple ≥3 familias
  - Item 5:
        aeronave:   Autel Dragonfish Pro
        coeficiente_similitud:   0.00
        valor_parametro:   30.00
        parametros_validos:   6.00
        familias_cumplidas:   3.00
        diferencias_promedio:   36.69
        razon_aceptacion:   Cumple ≥3 familias
sim_vals: [0.52, 0.32, 0.29, 0.18, 0.00]
vecinos_predictores:
    Peso máximo al despegue (MTOW): [32.00, 28.00, 19.95, 21.80, 19.00]
    Peso Vacio (MTOW - payload): [26.50, 22.00, 17.46, 19.28, 16.80]
    Payload: [5.50, 6.00, 2.49, 2.49, 2.20]
    Área del ala: [nan, 1.00, 1.16, 1.16, nan]
    Envergadura: [4.40, 2.93, 4.88, 4.88, 2.98]
    Longitud del fuselaje: [1.20, 2.03, 2.59, 2.59, 1.66]
    Ancho del fuselaje: [nan, nan, 0.20, 0.20, nan]
    Relación de aspecto del ala: [nan, nan, 15.33, 15.33, nan]
    Autonomía de la aeronave (h): [6.00, 3.00, 8.00, 4.00, 3.00]
    Alcance de la aeronave (km): [nan, 259.20, 433.00, 222.00, nan]
    Velocidad a la que se realiza el crucero (m/s TAS): [nan, 25.85, 17.34, 17.34, nan]
    Rango de comunicación: [50.00, nan, 100.00, 100.00, nan]
Iteración imputación:   1.00
</t>
      </text>
    </comment>
    <comment ref="AA46" authorId="1" shapeId="0">
      <text>
        <t xml:space="preserve">=== CÁLCULO APLICADO ===
formula:   W0 = MTOW - Payload
inputs:
    MTOW:   31.00
    Payload:   4.00
</t>
      </text>
    </comment>
    <comment ref="C47" authorId="1" shapeId="0">
      <text>
        <t xml:space="preserve">=== CÁLCULO APLICADO ===
formula:   Altitud asumida = 5000 pies
inputs:
</t>
      </text>
    </comment>
    <comment ref="D47" authorId="1" shapeId="0">
      <text>
        <t xml:space="preserve">=== CÁLCULO APLICADO ===
formula:   TAS_5000 = IAS / sqrt(σ_5000)
inputs:
    IAS:   23.00
    σ_5000:   0.86
</t>
      </text>
    </comment>
    <comment ref="I47" authorId="1" shapeId="0">
      <text>
        <t xml:space="preserve">=== IMPUTED VALUE ===
Aeronave:   JOUAV CW-25
Parámetro:   Longitud del fuselaje
Valor imputado:   2.08
Confianza:   0.34
Método predictivo:   Similitud
Iteración imputación:   1.00
variable_independiente_1:   None
=== SIMILARITY DETAILS ===
Aeronave:   JOUAV CW-25
Parámetro:   Longitud del fuselaje
Valor imputado:   2.08
Confianza:   0.34
Vecinos entrenamiento: [DOOSAN DJ25, Skyeye 2930 VTOL, JOUAV CW-25H]
k:   3.00
Penalizacion_k:   0.36
Confianza Similitud:   0.62
Confianza Datos:   0.54
Confianza CV:   0.97
CV:   0.02
Dispersión:   0.03
Advertencia:   confianza_baja
Método predictivo:   Similitud
Familia:   Filtrado directo
coeficientes_similitud: [0.71, 0.61, 0.51]
valores_vecinos: [2.10, 2.03, 2.10]
aeronaves_similares_detalle:
  - Item 1:
        aeronave:   DOOSAN DJ25
        coeficiente_similitud:   0.71
        valor_parametro:   2.10
        parametros_validos:   7.00
        familias_cumplidas:   2.00
        diferencias_promedio:   9.52
        razon_aceptacion:   Cumple 2 familias + 7 parámetros
  - Item 2:
        aeronave:   Skyeye 2930 VTOL
        coeficiente_similitud:   0.61
        valor_parametro:   2.03
        parametros_validos:   6.00
        familias_cumplidas:   2.00
        diferencias_promedio:   18.94
        razon_aceptacion:   Cumple 2 familias + 6 parámetros
  - Item 3:
        aeronave:   JOUAV CW-25H
        coeficiente_similitud:   0.51
        valor_parametro:   2.10
        parametros_validos:   7.00
        familias_cumplidas:   2.00
        diferencias_promedio:   18.22
        razon_aceptacion:   Cumple 2 familias + 7 parámetros
sim_vals: [0.71, 0.61, 0.51]
vecinos_predictores:
    Peso máximo al despegue (MTOW): [31.00, 28.00, 31.00]
    Peso Vacio (MTOW - payload): [27.00, 22.00, 27.00]
    Payload: [4.00, 6.00, 4.00]
    Área del ala: [nan, 1.00, nan]
    Envergadura: [4.40, 2.93, 4.40]
    Autonomía de la aeronave (h): [5.50, 3.00, 5.50]
    Alcance de la aeronave (km): [500.00, 259.20, 435.00]
    Velocidad a la que se realiza el crucero (m/s TAS): [23.70, 25.85, 23.92]
    Velocidad máxima (m/s IAS): [nan, 30.00, nan]
    Rango de comunicación: [200.00, nan, 100.00]
Iteración imputación:   1.00
</t>
      </text>
    </comment>
    <comment ref="M47" authorId="1" shapeId="0">
      <text>
        <t xml:space="preserve">=== CÁLCULO APLICADO ===
formula:   R[km] = h*3600*V/1000
inputs:
    Autonomía[h]:   6.00
    Velocidad[m/s]:   23.00
</t>
      </text>
    </comment>
    <comment ref="S47" authorId="1" shapeId="0">
      <text>
        <t xml:space="preserve">=== IMPUTED VALUE ===
Aeronave:   JOUAV CW-25
Parámetro:   Envergadura
Valor imputado:   3.91
Confianza:   0.28
Método predictivo:   Similitud
Iteración imputación:   1.00
variable_independiente_1:   None
=== SIMILARITY DETAILS ===
Aeronave:   JOUAV CW-25
Parámetro:   Envergadura
Valor imputado:   3.91
Confianza:   0.28
Vecinos entrenamiento: [DOOSAN DJ25, Skyeye 2930 VTOL, JOUAV CW-25H]
k:   3.00
Penalizacion_k:   0.36
Confianza Similitud:   0.62
Confianza Datos:   0.44
Confianza CV:   0.65
CV:   0.18
Dispersión:   0.69
Advertencia:   confianza_baja
Método predictivo:   Similitud
Familia:   Filtrado directo
coeficientes_similitud: [0.71, 0.61, 0.51]
valores_vecinos: [4.40, 2.93, 4.40]
aeronaves_similares_detalle:
  - Item 1:
        aeronave:   DOOSAN DJ25
        coeficiente_similitud:   0.71
        valor_parametro:   4.40
        parametros_validos:   7.00
        familias_cumplidas:   2.00
        diferencias_promedio:   9.52
        razon_aceptacion:   Cumple 2 familias + 7 parámetros
  - Item 2:
        aeronave:   Skyeye 2930 VTOL
        coeficiente_similitud:   0.61
        valor_parametro:   2.93
        parametros_validos:   6.00
        familias_cumplidas:   2.00
        diferencias_promedio:   18.94
        razon_aceptacion:   Cumple 2 familias + 6 parámetros
  - Item 3:
        aeronave:   JOUAV CW-25H
        coeficiente_similitud:   0.51
        valor_parametro:   4.40
        parametros_validos:   7.00
        familias_cumplidas:   2.00
        diferencias_promedio:   18.22
        razon_aceptacion:   Cumple 2 familias + 7 parámetros
sim_vals: [0.71, 0.61, 0.51]
vecinos_predictores:
    Peso máximo al despegue (MTOW): [31.00, 28.00, 31.00]
    Peso Vacio (MTOW - payload): [27.00, 22.00, 27.00]
    Payload: [4.00, 6.00, 4.00]
    Área del ala: [nan, 1.00, nan]
    Longitud del fuselaje: [2.10, 2.03, 2.10]
    Autonomía de la aeronave (h): [5.50, 3.00, 5.50]
    Alcance de la aeronave (km): [500.00, 259.20, 435.00]
    Velocidad a la que se realiza el crucero (m/s TAS): [23.70, 25.85, 23.92]
    Velocidad máxima (m/s IAS): [nan, 30.00, nan]
    Rango de comunicación: [200.00, nan, 100.00]
Iteración imputación:   1.00
</t>
      </text>
    </comment>
    <comment ref="AA47" authorId="1" shapeId="0">
      <text>
        <t xml:space="preserve">=== CÁLCULO APLICADO ===
formula:   W0 = MTOW - Payload
inputs:
    MTOW:   29.50
    Payload:   6.00
</t>
      </text>
    </comment>
    <comment ref="C48" authorId="1" shapeId="0">
      <text>
        <t xml:space="preserve">=== CÁLCULO APLICADO ===
formula:   Altitud asumida = 5000 pies
inputs:
</t>
      </text>
    </comment>
    <comment ref="D48" authorId="1" shapeId="0">
      <text>
        <t xml:space="preserve">=== CÁLCULO APLICADO ===
formula:   TAS_5000 = IAS / sqrt(σ_5000)
inputs:
    IAS:   25.00
    σ_5000:   0.86
</t>
      </text>
    </comment>
    <comment ref="M48" authorId="1" shapeId="0">
      <text>
        <t xml:space="preserve">=== CÁLCULO APLICADO ===
formula:   R[km] = h*3600*V/1000
inputs:
    Autonomía[h]:   8.00
    Velocidad[m/s]:   25.00
</t>
      </text>
    </comment>
    <comment ref="AA48" authorId="1" shapeId="0">
      <text>
        <t xml:space="preserve">=== CÁLCULO APLICADO ===
formula:   W0 = MTOW - Payload
inputs:
    MTOW:   38.00
    Payload:   10.00
</t>
      </text>
    </comment>
    <comment ref="C49" authorId="1" shapeId="0">
      <text>
        <t xml:space="preserve">=== CÁLCULO APLICADO ===
formula:   Altitud asumida = 5000 pies
inputs:
</t>
      </text>
    </comment>
    <comment ref="D49" authorId="1" shapeId="0">
      <text>
        <t xml:space="preserve">=== CÁLCULO APLICADO ===
formula:   TAS_5000 = IAS / sqrt(σ_5000)
inputs:
    IAS:   33.30
    σ_5000:   0.86
</t>
      </text>
    </comment>
    <comment ref="G49" authorId="1" shapeId="0">
      <text>
        <t xml:space="preserve">=== IMPUTED VALUE ===
Aeronave:   JOUAV CW-80E
Parámetro:   Área del ala
Valor imputado:   2.62
Confianza:   0.30
Método predictivo:   Similitud
Iteración imputación:   1.00
variable_independiente_1:   None
=== SIMILARITY DETAILS ===
Aeronave:   JOUAV CW-80E
Parámetro:   Área del ala
Valor imputado:   2.62
Confianza:   0.30
Vecinos entrenamiento: [Skyeye 5000 VTOL octo, Skyeye 5000 VTOL, Skyeye 5000]
k:   3.00
Penalizacion_k:   0.36
Confianza Similitud:   0.55
Confianza Datos:   0.55
Confianza CV:   1.00
CV:   0.00
Dispersión:   0.00
Advertencia:   confianza_baja
Método predictivo:   Similitud
Familia:   Filtrado directo
coeficientes_similitud: [0.69, 0.50, 0.35]
valores_vecinos: [2.62, 2.62, 2.62]
aeronaves_similares_detalle:
  - Item 1:
        aeronave:   Skyeye 5000 VTOL octo
        coeficiente_similitud:   0.69
        valor_parametro:   2.62
        parametros_validos:   7.00
        familias_cumplidas:   3.00
        diferencias_promedio:   10.86
        razon_aceptacion:   Cumple ≥3 familias
  - Item 2:
        aeronave:   Skyeye 5000 VTOL
        coeficiente_similitud:   0.50
        valor_parametro:   2.62
        parametros_validos:   9.00
        familias_cumplidas:   3.00
        diferencias_promedio:   13.62
        razon_aceptacion:   Cumple ≥3 familias
  - Item 3:
        aeronave:   Skyeye 5000
        coeficiente_similitud:   0.35
        valor_parametro:   2.62
        parametros_validos:   9.00
        familias_cumplidas:   3.00
        diferencias_promedio:   14.44
        razon_aceptacion:   Cumple ≥3 familias
sim_vals: [0.69, 0.50, 0.35]
vecinos_predictores:
    Peso máximo al despegue (MTOW): [100.00, 100.00, 90.00]
    Peso Vacio (MTOW - payload): [85.00, 75.00, 70.00]
    Payload: [15.00, 25.00, 20.00]
    Envergadura: [5.00, 5.00, 5.00]
    Longitud del fuselaje: [3.50, 3.50, 3.50]
    Ancho del fuselaje: [0.38, 0.38, 0.38]
    Autonomía de la aeronave (h): [nan, 8.00, 8.00]
    Alcance de la aeronave (km): [nan, 800.00, 950.40]
    Velocidad a la que se realiza el crucero (m/s TAS): [37.70, 30.16, 35.55]
    Velocidad máxima (m/s IAS): [38.00, 42.00, 42.00]
Iteración imputación:   1.00
</t>
      </text>
    </comment>
    <comment ref="K49" authorId="1" shapeId="0">
      <text>
        <t xml:space="preserve">=== IMPUTED VALUE ===
Aeronave:   JOUAV CW-80E
Parámetro:   Ancho del fuselaje
Valor imputado:   0.38
Confianza:   0.30
Método predictivo:   Similitud
Iteración imputación:   1.00
variable_independiente_1:   None
=== SIMILARITY DETAILS ===
Aeronave:   JOUAV CW-80E
Parámetro:   Ancho del fuselaje
Valor imputado:   0.38
Confianza:   0.30
Vecinos entrenamiento: [Skyeye 5000 VTOL octo, Skyeye 5000 VTOL, Skyeye 5000]
k:   3.00
Penalizacion_k:   0.36
Confianza Similitud:   0.55
Confianza Datos:   0.55
Confianza CV:   1.00
CV:   0.00
Dispersión:   0.00
Advertencia:   confianza_baja
Método predictivo:   Similitud
Familia:   Filtrado directo
coeficientes_similitud: [0.69, 0.50, 0.35]
valores_vecinos: [0.38, 0.38, 0.38]
aeronaves_similares_detalle:
  - Item 1:
        aeronave:   Skyeye 5000 VTOL octo
        coeficiente_similitud:   0.69
        valor_parametro:   0.38
        parametros_validos:   7.00
        familias_cumplidas:   3.00
        diferencias_promedio:   10.86
        razon_aceptacion:   Cumple ≥3 familias
  - Item 2:
        aeronave:   Skyeye 5000 VTOL
        coeficiente_similitud:   0.50
        valor_parametro:   0.38
        parametros_validos:   9.00
        familias_cumplidas:   3.00
        diferencias_promedio:   13.62
        razon_aceptacion:   Cumple ≥3 familias
  - Item 3:
        aeronave:   Skyeye 5000
        coeficiente_similitud:   0.35
        valor_parametro:   0.38
        parametros_validos:   9.00
        familias_cumplidas:   3.00
        diferencias_promedio:   14.44
        razon_aceptacion:   Cumple ≥3 familias
sim_vals: [0.69, 0.50, 0.35]
vecinos_predictores:
    Peso máximo al despegue (MTOW): [100.00, 100.00, 90.00]
    Peso Vacio (MTOW - payload): [85.00, 75.00, 70.00]
    Payload: [15.00, 25.00, 20.00]
    Área del ala: [2.62, 2.62, 2.62]
    Envergadura: [5.00, 5.00, 5.00]
    Longitud del fuselaje: [3.50, 3.50, 3.50]
    Autonomía de la aeronave (h): [nan, 8.00, 8.00]
    Alcance de la aeronave (km): [nan, 800.00, 950.40]
    Velocidad a la que se realiza el crucero (m/s TAS): [37.70, 30.16, 35.55]
    Velocidad máxima (m/s IAS): [38.00, 42.00, 42.00]
Iteración imputación:   1.00
</t>
      </text>
    </comment>
    <comment ref="M49" authorId="1" shapeId="0">
      <text>
        <t xml:space="preserve">=== CÁLCULO APLICADO ===
formula:   R[km] = h*3600*V/1000
inputs:
    Autonomía[h]:   10.00
    Velocidad[m/s]:   33.30
</t>
      </text>
    </comment>
    <comment ref="AA49" authorId="1" shapeId="0">
      <text>
        <t xml:space="preserve">=== CÁLCULO APLICADO ===
formula:   W0 = MTOW - Payload
inputs:
    MTOW:   110.00
    Payload:   25.00
</t>
      </text>
    </comment>
    <comment ref="C50" authorId="1" shapeId="0">
      <text>
        <t xml:space="preserve">=== CÁLCULO APLICADO ===
formula:   Altitud asumida = 5000 pies
inputs:
</t>
      </text>
    </comment>
    <comment ref="D50" authorId="1" shapeId="0">
      <text>
        <t xml:space="preserve">=== CÁLCULO APLICADO ===
formula:   TAS_5000 = IAS / sqrt(σ_5000)
inputs:
    IAS:   25.70
    σ_5000:   0.86
</t>
      </text>
    </comment>
    <comment ref="I50" authorId="1" shapeId="0">
      <text>
        <t xml:space="preserve">=== IMPUTED VALUE ===
Aeronave:   L3Harris FVR–90
Parámetro:   Longitud del fuselaje
Valor imputado:   2.41
Confianza:   0.28
Método predictivo:   Similitud
Iteración imputación:   1.00
variable_independiente_1:   None
=== SIMILARITY DETAILS ===
Aeronave:   L3Harris FVR–90
Parámetro:   Longitud del fuselaje
Valor imputado:   2.41
Confianza:   0.28
Vecinos entrenamiento: [Aerosonde Mk. 4.7 VTOL, Orbiter 4, ScanEagle 3, YANGDA Sky Whale Max Hybrid Heavy Lift Long Endurance VTOL Drone, Aerosonde Mk. 4.7 Fixed Wing]
k:   5.00
Penalizacion_k:   0.69
Confianza Similitud:   0.45
Confianza Datos:   0.62
Confianza CV:   0.46
CV:   0.27
Dispersión:   0.66
Advertencia:   confianza_baja
Método predictivo:   Similitud
Familia:   Filtrado directo
coeficientes_similitud: [0.58, 0.49, 0.40, 0.34, 0.32]
valores_vecinos: [3.00, 1.20, 2.40, 2.58, 3.00]
aeronaves_similares_detalle:
  - Item 1:
        aeronave:   Aerosonde Mk. 4.7 VTOL
        coeficiente_similitud:   0.58
        valor_parametro:   3.00
        parametros_validos:   9.00
        familias_cumplidas:   3.00
        diferencias_promedio:   13.54
        razon_aceptacion:   Cumple ≥3 familias
  - Item 2:
        aeronave:   Orbiter 4
        coeficiente_similitud:   0.49
        valor_parametro:   1.20
        parametros_validos:   7.00
        familias_cumplidas:   3.00
        diferencias_promedio:   20.38
        razon_aceptacion:   Cumple ≥3 familias
  - Item 3:
        aeronave:   ScanEagle 3
        coeficiente_similitud:   0.40
        valor_parametro:   2.40
        parametros_validos:   8.00
        familias_cumplidas:   3.00
        diferencias_promedio:   18.21
        razon_aceptacion:   Cumple ≥3 familias
  - Item 4:
        aeronave:   YANGDA Sky Whale Max Hybrid Heavy Lift Long Endurance VTOL Drone
        coeficiente_similitud:   0.34
        valor_parametro:   2.58
        parametros_validos:   3.00
        familias_cumplidas:   3.00
        diferencias_promedio:   19.70
        razon_aceptacion:   Cumple ≥3 familias
  - Item 5:
        aeronave:   Aerosonde Mk. 4.7 Fixed Wing
        coeficiente_similitud:   0.32
        valor_parametro:   3.00
        parametros_validos:   9.00
        familias_cumplidas:   3.00
        diferencias_promedio:   21.87
        razon_aceptacion:   Cumple ≥3 familias
sim_vals: [0.58, 0.49, 0.40, 0.34, 0.32]
vecinos_predictores:
    Peso máximo al despegue (MTOW): [53.50, 55.00, 36.30, 65.00, 42.20]
    Peso Vacio (MTOW - payload): [42.20, 43.00, 27.70, nan, 27.70]
    Payload: [11.30, 12.00, 8.60, nan, 14.50]
    Área del ala: [1.55, nan, nan, nan, 1.55]
    Envergadura: [4.40, 5.20, 4.00, 4.80, 4.40]
    Ancho del fuselaje: [0.28, nan, nan, nan, 0.28]
    Relación de aspecto del ala: [12.50, nan, nan, nan, 12.50]
    Autonomía de la aeronave (h): [12.00, 24.00, 18.00, 10.00, 19.80]
    Alcance de la aeronave (km): [1080.00, nan, 1522.80, nan, 1782.00]
    Velocidad a la que se realiza el crucero (m/s TAS): [26.93, nan, 25.32, nan, 26.93]
    Velocidad máxima (m/s IAS): [33.44, 36.00, 41.20, nan, 33.44]
    Rango de comunicación: [140.00, 150.00, nan, nan, 140.00]
    Potencia HP: [4.00, nan, nan, nan, 4.00]
    Potencia Watts: [2980.00, nan, 170.00, nan, 2980.00]
Iteración imputación:   1.00
</t>
      </text>
    </comment>
    <comment ref="AA50" authorId="1" shapeId="0">
      <text>
        <t xml:space="preserve">=== CÁLCULO APLICADO ===
formula:   W0 = MTOW - Payload
inputs:
    MTOW:   54.40
    Payload:   10.00
</t>
      </text>
    </comment>
    <comment ref="AI50" authorId="1" shapeId="0">
      <text>
        <t xml:space="preserve">=== IMPUTED VALUE ===
Aeronave:   L3Harris FVR–90
Parámetro:   Potencia Watts
Valor imputado:   2120.83
Confianza:   0.11
Método predictivo:   Similitud
Iteración imputación:   1.00
variable_independiente_1:   None
=== SIMILARITY DETAILS ===
Aeronave:   L3Harris FVR–90
Parámetro:   Potencia Watts
Valor imputado:   2120.83
Confianza:   0.11
Vecinos entrenamiento: [Aerosonde Mk. 4.7 VTOL, ScanEagle 3, Aerosonde Mk. 4.7 Fixed Wing]
k:   3.00
Penalizacion_k:   0.36
Confianza Similitud:   0.46
Confianza Datos:   0.25
Confianza CV:   0.00
CV:   0.65
Dispersión:   1324.65
Advertencia:   confianza_baja, alta_variabilidad
Método predictivo:   Similitud
Familia:   Filtrado directo
coeficientes_similitud: [0.58, 0.40, 0.32]
valores_vecinos: [2980.00, 170.00, 2980.00]
aeronaves_similares_detalle:
  - Item 1:
        aeronave:   Aerosonde Mk. 4.7 VTOL
        coeficiente_similitud:   0.58
        valor_parametro:   2980.00
        parametros_validos:   9.00
        familias_cumplidas:   3.00
        diferencias_promedio:   13.54
        razon_aceptacion:   Cumple ≥3 familias
  - Item 2:
        aeronave:   ScanEagle 3
        coeficiente_similitud:   0.40
        valor_parametro:   170.00
        parametros_validos:   8.00
        familias_cumplidas:   3.00
        diferencias_promedio:   18.21
        razon_aceptacion:   Cumple ≥3 familias
  - Item 3:
        aeronave:   Aerosonde Mk. 4.7 Fixed Wing
        coeficiente_similitud:   0.32
        valor_parametro:   2980.00
        parametros_validos:   9.00
        familias_cumplidas:   3.00
        diferencias_promedio:   21.87
        razon_aceptacion:   Cumple ≥3 familias
sim_vals: [0.58, 0.40, 0.32]
vecinos_predictores:
    Peso máximo al despegue (MTOW): [53.50, 36.30, 42.20]
    Peso Vacio (MTOW - payload): [42.20, 27.70, 27.70]
    Payload: [11.30, 8.60, 14.50]
    Área del ala: [1.55, nan, 1.55]
    Envergadura: [4.40, 4.00, 4.40]
    Longitud del fuselaje: [3.00, 2.40, 3.00]
    Ancho del fuselaje: [0.28, nan, 0.28]
    Relación de aspecto del ala: [12.50, nan, 12.50]
    Autonomía de la aeronave (h): [12.00, 18.00, 19.80]
    Alcance de la aeronave (km): [1080.00, 1522.80, 1782.00]
    Velocidad a la que se realiza el crucero (m/s TAS): [26.93, 25.32, 26.93]
    Velocidad máxima (m/s IAS): [33.44, 41.20, 33.44]
    Rango de comunicación: [140.00, nan, 140.00]
    Potencia HP: [4.00, nan, 4.00]
Iteración imputación:   1.00
</t>
      </text>
    </comment>
    <comment ref="C51" authorId="1" shapeId="0">
      <text>
        <t xml:space="preserve">=== CÁLCULO APLICADO ===
formula:   Altitud asumida = 5000 pies
inputs:
</t>
      </text>
    </comment>
    <comment ref="D51" authorId="1" shapeId="0">
      <text>
        <t xml:space="preserve">=== CÁLCULO APLICADO ===
formula:   TAS_5000 = IAS / sqrt(σ_5000)
inputs:
    IAS:   33.80
    σ_5000:   0.86
</t>
      </text>
    </comment>
    <comment ref="I51" authorId="1" shapeId="0">
      <text>
        <t xml:space="preserve">=== IMPUTED VALUE ===
Aeronave:   SwoopAero Kite™
Parámetro:   Longitud del fuselaje
Valor imputado:   1.88
Confianza:   0.26
Método predictivo:   Similitud
Iteración imputación:   1.00
variable_independiente_1:   None
=== SIMILARITY DETAILS ===
Aeronave:   SwoopAero Kite™
Parámetro:   Longitud del fuselaje
Valor imputado:   1.88
Confianza:   0.26
Vecinos entrenamiento: [Skyeye 2600, HYFLY H405, Ruppel (BETA UAS)]
k:   3.00
Penalizacion_k:   0.36
Confianza Similitud:   0.59
Confianza Datos:   0.45
Confianza CV:   0.66
CV:   0.17
Dispersión:   0.33
Advertencia:   confianza_baja
Método predictivo:   Similitud
Familia:   Filtrado directo
coeficientes_similitud: [0.71, 0.33, 0.00]
valores_vecinos: [2.05, 1.50, 2.30]
aeronaves_similares_detalle:
  - Item 1:
        aeronave:   Skyeye 2600
        coeficiente_similitud:   0.71
        valor_parametro:   2.05
        parametros_validos:   5.00
        familias_cumplidas:   3.00
        diferencias_promedio:   11.91
        razon_aceptacion:   Cumple ≥3 familias
  - Item 2:
        aeronave:   HYFLY H405
        coeficiente_similitud:   0.33
        valor_parametro:   1.50
        parametros_validos:   3.00
        familias_cumplidas:   3.00
        diferencias_promedio:   23.63
        razon_aceptacion:   Cumple ≥3 familias
  - Item 3:
        aeronave:   Ruppel (BETA UAS)
        coeficiente_similitud:   0.00
        valor_parametro:   2.30
        parametros_validos:   3.00
        familias_cumplidas:   3.00
        diferencias_promedio:   36.96
        razon_aceptacion:   Cumple ≥3 familias
sim_vals: [0.71, 0.33, 0.00]
vecinos_predictores:
    Peso máximo al despegue (MTOW): [15.00, 25.00, 30.00]
    Peso Vacio (MTOW - payload): [11.00, 20.00, 20.00]
    Payload: [4.00, 5.00, 10.00]
    Área del ala: [0.88, nan, nan]
    Envergadura: [2.60, 1.50, 3.90]
    Autonomía de la aeronave (h): [2.00, nan, 1.00]
    Alcance de la aeronave (km): [237.60, nan, nan]
    Velocidad a la que se realiza el crucero (m/s TAS): [35.55, 26.93, nan]
    Rango de comunicación: [nan, nan, 50.00]
Iteración imputación:   1.00
</t>
      </text>
    </comment>
    <comment ref="N51" authorId="1" shapeId="0">
      <text>
        <t xml:space="preserve">=== CÁLCULO APLICADO ===
formula:   h = R*1000/(V*3600)
inputs:
    R[km]:   225.00
    Velocidad[m/s]:   33.80
</t>
      </text>
    </comment>
    <comment ref="U51" authorId="1" shapeId="0">
      <text>
        <t xml:space="preserve">=== IMPUTED VALUE ===
Aeronave:   SwoopAero Kite™
Parámetro:   Payload
Valor imputado:   4.32
Confianza:   0.18
Método predictivo:   Similitud
Iteración imputación:   1.00
variable_independiente_1:   None
=== SIMILARITY DETAILS ===
Aeronave:   SwoopAero Kite™
Parámetro:   Payload
Valor imputado:   4.32
Confianza:   0.18
Vecinos entrenamiento: [Skyeye 2600, HYFLY H405, Ruppel (BETA UAS)]
k:   3.00
Penalizacion_k:   0.36
Confianza Similitud:   0.59
Confianza Datos:   0.30
Confianza CV:   0.17
CV:   0.41
Dispersión:   2.62
Advertencia:   confianza_baja
Método predictivo:   Similitud
Familia:   Filtrado directo
coeficientes_similitud: [0.71, 0.33, 0.00]
valores_vecinos: [4.00, 5.00, 10.00]
aeronaves_similares_detalle:
  - Item 1:
        aeronave:   Skyeye 2600
        coeficiente_similitud:   0.71
        valor_parametro:   4.00
        parametros_validos:   5.00
        familias_cumplidas:   3.00
        diferencias_promedio:   11.91
        razon_aceptacion:   Cumple ≥3 familias
  - Item 2:
        aeronave:   HYFLY H405
        coeficiente_similitud:   0.33
        valor_parametro:   5.00
        parametros_validos:   3.00
        familias_cumplidas:   3.00
        diferencias_promedio:   23.63
        razon_aceptacion:   Cumple ≥3 familias
  - Item 3:
        aeronave:   Ruppel (BETA UAS)
        coeficiente_similitud:   0.00
        valor_parametro:   10.00
        parametros_validos:   3.00
        familias_cumplidas:   3.00
        diferencias_promedio:   36.96
        razon_aceptacion:   Cumple ≥3 familias
sim_vals: [0.71, 0.33, 0.00]
vecinos_predictores:
    Peso máximo al despegue (MTOW): [15.00, 25.00, 30.00]
    Peso Vacio (MTOW - payload): [11.00, 20.00, 20.00]
    Área del ala: [0.88, nan, nan]
    Envergadura: [2.60, 1.50, 3.90]
    Longitud del fuselaje: [2.05, 1.50, 2.30]
    Autonomía de la aeronave (h): [2.00, nan, 1.00]
    Alcance de la aeronave (km): [237.60, nan, nan]
    Velocidad a la que se realiza el crucero (m/s TAS): [35.55, 26.93, nan]
    Rango de comunicación: [nan, nan, 50.00]
Iteración imputación:   1.00
</t>
      </text>
    </comment>
    <comment ref="AA51" authorId="1" shapeId="0">
      <text>
        <t xml:space="preserve">=== IMPUTED VALUE ===
Aeronave:   SwoopAero Kite™
Parámetro:   Peso Vacio (MTOW - payload)
Valor imputado:   13.86
Confianza:   0.24
Método predictivo:   Similitud
Iteración imputación:   1.00
variable_independiente_1:   None
=== SIMILARITY DETAILS ===
Aeronave:   SwoopAero Kite™
Parámetro:   Peso Vacio (MTOW - payload)
Valor imputado:   13.86
Confianza:   0.24
Vecinos entrenamiento: [Skyeye 2600, HYFLY H405, Ruppel (BETA UAS)]
k:   3.00
Penalizacion_k:   0.36
Confianza Similitud:   0.59
Confianza Datos:   0.40
Confianza CV:   0.50
CV:   0.25
Dispersión:   4.24
Advertencia:   confianza_baja
Método predictivo:   Similitud
Familia:   Filtrado directo
coeficientes_similitud: [0.71, 0.33, 0.00]
valores_vecinos: [11.00, 20.00, 20.00]
aeronaves_similares_detalle:
  - Item 1:
        aeronave:   Skyeye 2600
        coeficiente_similitud:   0.71
        valor_parametro:   11.00
        parametros_validos:   5.00
        familias_cumplidas:   3.00
        diferencias_promedio:   11.91
        razon_aceptacion:   Cumple ≥3 familias
  - Item 2:
        aeronave:   HYFLY H405
        coeficiente_similitud:   0.33
        valor_parametro:   20.00
        parametros_validos:   3.00
        familias_cumplidas:   3.00
        diferencias_promedio:   23.63
        razon_aceptacion:   Cumple ≥3 familias
  - Item 3:
        aeronave:   Ruppel (BETA UAS)
        coeficiente_similitud:   0.00
        valor_parametro:   20.00
        parametros_validos:   3.00
        familias_cumplidas:   3.00
        diferencias_promedio:   36.96
        razon_aceptacion:   Cumple ≥3 familias
sim_vals: [0.71, 0.33, 0.00]
vecinos_predictores:
    Peso máximo al despegue (MTOW): [15.00, 25.00, 30.00]
    Payload: [4.00, 5.00, 10.00]
    Área del ala: [0.88, nan, nan]
    Envergadura: [2.60, 1.50, 3.90]
    Longitud del fuselaje: [2.05, 1.50, 2.30]
    Autonomía de la aeronave (h): [2.00, nan, 1.00]
    Alcance de la aeronave (km): [237.60, nan, nan]
    Velocidad a la que se realiza el crucero (m/s TAS): [35.55, 26.93, nan]
    Rango de comunicación: [nan, nan, 50.00]
Iteración imputación:   1.00
</t>
      </text>
    </comment>
    <comment ref="C52" authorId="1" shapeId="0">
      <text>
        <t xml:space="preserve">=== CÁLCULO APLICADO ===
formula:   Altitud asumida = 5000 pies
inputs:
</t>
      </text>
    </comment>
    <comment ref="D52" authorId="1" shapeId="0">
      <text>
        <t xml:space="preserve">=== CÁLCULO APLICADO ===
formula:   TAS_5000 = IAS / sqrt(σ_5000)
inputs:
    IAS:   25.00
    σ_5000:   0.86
</t>
      </text>
    </comment>
    <comment ref="I52" authorId="1" shapeId="0">
      <text>
        <t xml:space="preserve">=== IMPUTED VALUE ===
Aeronave:   YANGDA Sky Whale Heavy Lift Long Endurance Electric VTOL Drone
Parámetro:   Longitud del fuselaje
Valor imputado:   1.88
Confianza:   0.31
Método predictivo:   Similitud
Iteración imputación:   1.00
variable_independiente_1:   None
=== SIMILARITY DETAILS ===
Aeronave:   YANGDA Sky Whale Heavy Lift Long Endurance Electric VTOL Drone
Parámetro:   Longitud del fuselaje
Valor imputado:   1.88
Confianza:   0.31
Vecinos entrenamiento: [V35, Skyeye 2930 VTOL, JOUAV CW-25E, T-Drones VA32, V32]
k:   5.00
Penalizacion_k:   0.69
Confianza Similitud:   0.48
Confianza Datos:   0.65
Confianza CV:   0.54
CV:   0.23
Dispersión:   0.42
Advertencia:   confianza_baja
Método predictivo:   Similitud
Familia:   Filtrado directo
coeficientes_similitud: [0.66, 0.46, 0.45, 0.37, 0.28]
valores_vecinos: [1.88, 2.03, 2.18, 1.98, 1.00]
aeronaves_similares_detalle:
  - Item 1:
        aeronave:   V35
        coeficiente_similitud:   0.66
        valor_parametro:   1.88
        parametros_validos:   7.00
        familias_cumplidas:   2.00
        diferencias_promedio:   7.96
        razon_aceptacion:   Cumple 2 familias + 7 parámetros
  - Item 2:
        aeronave:   Skyeye 2930 VTOL
        coeficiente_similitud:   0.46
        valor_parametro:   2.03
        parametros_validos:   7.00
        familias_cumplidas:   2.00
        diferencias_promedio:   16.06
        razon_aceptacion:   Cumple 2 familias + 7 parámetros
  - Item 3:
        aeronave:   JOUAV CW-25E
        coeficiente_similitud:   0.45
        valor_parametro:   2.18
        parametros_validos:   6.00
        familias_cumplidas:   2.00
        diferencias_promedio:   16.42
        razon_aceptacion:   Cumple 2 familias + 6 parámetros
  - Item 4:
        aeronave:   T-Drones VA32
        coeficiente_similitud:   0.37
        valor_parametro:   1.98
        parametros_validos:   6.00
        familias_cumplidas:   2.00
        diferencias_promedio:   20.70
        razon_aceptacion:   Cumple 2 familias + 6 parámetros
  - Item 5:
        aeronave:   V32
        coeficiente_similitud:   0.28
        valor_parametro:   1.00
        parametros_validos:   7.00
        familias_cumplidas:   2.00
        diferencias_promedio:   22.39
        razon_aceptacion:   Cumple 2 familias + 7 parámetros
sim_vals: [0.66, 0.46, 0.45, 0.37, 0.28]
vecinos_predictores:
    Peso máximo al despegue (MTOW): [32.00, 28.00, 31.58, 25.00, 23.50]
    Peso Vacio (MTOW - payload): [22.00, 22.00, 25.58, 20.00, 18.50]
    Payload: [10.00, 6.00, 6.00, 5.00, 5.00]
    Área del ala: [nan, 1.00, nan, nan, nan]
    Envergadura: [3.50, 2.93, 4.35, 3.20, 3.20]
    Autonomía de la aeronave (h): [2.80, 3.00, 3.50, 4.00, 4.50]
    Alcance de la aeronave (km): [252.00, 259.20, 244.44, 300.00, 324.00]
    Velocidad a la que se realiza el crucero (m/s TAS): [26.93, 25.85, 20.90, 23.70, 21.55]
    Velocidad máxima (m/s IAS): [33.00, 30.00, nan, nan, 33.00]
    Rango de comunicación: [30.00, nan, 200.00, 10.00, 30.00]
Iteración imputación:   1.00
</t>
      </text>
    </comment>
    <comment ref="M52" authorId="1" shapeId="0">
      <text>
        <t xml:space="preserve">=== CÁLCULO APLICADO ===
formula:   R[km] = h*3600*V/1000
inputs:
    Autonomía[h]:   3.50
    Velocidad[m/s]:   25.00
</t>
      </text>
    </comment>
    <comment ref="S52" authorId="1" shapeId="0">
      <text>
        <t xml:space="preserve">=== IMPUTED VALUE ===
Aeronave:   YANGDA Sky Whale Heavy Lift Long Endurance Electric VTOL Drone
Parámetro:   Envergadura
Valor imputado:   3.51
Confianza:   0.36
Método predictivo:   Similitud
Iteración imputación:   1.00
variable_independiente_1:   None
=== SIMILARITY DETAILS ===
Aeronave:   YANGDA Sky Whale Heavy Lift Long Endurance Electric VTOL Drone
Parámetro:   Envergadura
Valor imputado:   3.51
Confianza:   0.36
Vecinos entrenamiento: [V35, Skyeye 2930 VTOL, JOUAV CW-25E, T-Drones VA32, V39, V32]
k:   6.00
Penalizacion_k:   0.83
Confianza Similitud:   0.46
Confianza Datos:   0.80
Confianza CV:   0.73
CV:   0.14
Dispersión:   0.48
Advertencia:   confianza_baja
Método predictivo:   Similitud
Familia:   Filtrado directo
coeficientes_similitud: [0.66, 0.46, 0.45, 0.37, 0.28, 0.28]
valores_vecinos: [3.50, 2.93, 4.35, 3.20, 3.90, 3.20]
aeronaves_similares_detalle:
  - Item 1:
        aeronave:   V35
        coeficiente_similitud:   0.66
        valor_parametro:   3.50
        parametros_validos:   7.00
        familias_cumplidas:   2.00
        diferencias_promedio:   7.96
        razon_aceptacion:   Cumple 2 familias + 7 parámetros
  - Item 2:
        aeronave:   Skyeye 2930 VTOL
        coeficiente_similitud:   0.46
        valor_parametro:   2.93
        parametros_validos:   7.00
        familias_cumplidas:   2.00
        diferencias_promedio:   16.06
        razon_aceptacion:   Cumple 2 familias + 7 parámetros
  - Item 3:
        aeronave:   JOUAV CW-25E
        coeficiente_similitud:   0.45
        valor_parametro:   4.35
        parametros_validos:   6.00
        familias_cumplidas:   2.00
        diferencias_promedio:   16.42
        razon_aceptacion:   Cumple 2 familias + 6 parámetros
  - Item 4:
        aeronave:   T-Drones VA32
        coeficiente_similitud:   0.37
        valor_parametro:   3.20
        parametros_validos:   6.00
        familias_cumplidas:   2.00
        diferencias_promedio:   20.70
        razon_aceptacion:   Cumple 2 familias + 6 parámetros
  - Item 5:
        aeronave:   V39
        coeficiente_similitud:   0.28
        valor_parametro:   3.90
        parametros_validos:   7.00
        familias_cumplidas:   2.00
        diferencias_promedio:   22.70
        razon_aceptacion:   Cumple 2 familias + 7 parámetros
  - Item 6:
        aeronave:   V32
        coeficiente_similitud:   0.28
        valor_parametro:   3.20
        parametros_validos:   7.00
        familias_cumplidas:   2.00
        diferencias_promedio:   22.39
        razon_aceptacion:   Cumple 2 familias + 7 parámetros
sim_vals: [0.66, 0.46, 0.45, 0.37, 0.28, 0.28]
vecinos_predictores:
    Peso máximo al despegue (MTOW): [32.00, 28.00, 31.58, 25.00, 24.00, 23.50]
    Peso Vacio (MTOW - payload): [22.00, 22.00, 25.58, 20.00, 19.00, 18.50]
    Payload: [10.00, 6.00, 6.00, 5.00, 5.00, 5.00]
    Área del ala: [nan, 1.00, nan, nan, nan, nan]
    Longitud del fuselaje: [1.88, 2.03, 2.18, 1.98, nan, 1.00]
    Autonomía de la aeronave (h): [2.80, 3.00, 3.50, 4.00, 4.50, 4.50]
    Alcance de la aeronave (km): [252.00, 259.20, 244.44, 300.00, 405.00, 324.00]
    Velocidad a la que se realiza el crucero (m/s TAS): [26.93, 25.85, 20.90, 23.70, 26.93, 21.55]
    Velocidad máxima (m/s IAS): [33.00, 30.00, nan, nan, 33.00, 33.00]
    Rango de comunicación: [30.00, nan, 200.00, 10.00, 30.00, 30.00]
Iteración imputación:   1.00
</t>
      </text>
    </comment>
    <comment ref="AA52" authorId="1" shapeId="0">
      <text>
        <t xml:space="preserve">=== CÁLCULO APLICADO ===
formula:   W0 = MTOW - Payload
inputs:
    MTOW:   34.00
    Payload:   10.00
</t>
      </text>
    </comment>
    <comment ref="AD52" authorId="1" shapeId="0">
      <text>
        <t xml:space="preserve">=== IMPUTED VALUE ===
Aeronave:   YANGDA Sky Whale Heavy Lift Long Endurance Electric VTOL Drone
Parámetro:   Rango de comunicación
Valor imputado:   63.55
Confianza:   0.22
Método predictivo:   Similitud
Iteración imputación:   1.00
variable_independiente_1:   None
=== SIMILARITY DETAILS ===
Aeronave:   YANGDA Sky Whale Heavy Lift Long Endurance Electric VTOL Drone
Parámetro:   Rango de comunicación
Valor imputado:   63.55
Confianza:   0.22
Vecinos entrenamiento: [V35, JOUAV CW-25E, T-Drones VA32, V39, V32]
k:   5.00
Penalizacion_k:   0.69
Confianza Similitud:   0.46
Confianza Datos:   0.48
Confianza CV:   0.00
CV:   1.17
Dispersión:   70.43
Advertencia:   confianza_baja, alta_variabilidad
Método predictivo:   Similitud
Familia:   Filtrado directo
coeficientes_similitud: [0.66, 0.45, 0.37, 0.28, 0.28]
valores_vecinos: [30.00, 200.00, 10.00, 30.00, 30.00]
aeronaves_similares_detalle:
  - Item 1:
        aeronave:   V35
        coeficiente_similitud:   0.66
        valor_parametro:   30.00
        parametros_validos:   7.00
        familias_cumplidas:   2.00
        diferencias_promedio:   7.96
        razon_aceptacion:   Cumple 2 familias + 7 parámetros
  - Item 2:
        aeronave:   JOUAV CW-25E
        coeficiente_similitud:   0.45
        valor_parametro:   200.00
        parametros_validos:   6.00
        familias_cumplidas:   2.00
        diferencias_promedio:   16.42
        razon_aceptacion:   Cumple 2 familias + 6 parámetros
  - Item 3:
        aeronave:   T-Drones VA32
        coeficiente_similitud:   0.37
        valor_parametro:   10.00
        parametros_validos:   6.00
        familias_cumplidas:   2.00
        diferencias_promedio:   20.70
        razon_aceptacion:   Cumple 2 familias + 6 parámetros
  - Item 4:
        aeronave:   V39
        coeficiente_similitud:   0.28
        valor_parametro:   30.00
        parametros_validos:   7.00
        familias_cumplidas:   2.00
        diferencias_promedio:   22.70
        razon_aceptacion:   Cumple 2 familias + 7 parámetros
  - Item 5:
        aeronave:   V32
        coeficiente_similitud:   0.28
        valor_parametro:   30.00
        parametros_validos:   7.00
        familias_cumplidas:   2.00
        diferencias_promedio:   22.39
        razon_aceptacion:   Cumple 2 familias + 7 parámetros
sim_vals: [0.66, 0.45, 0.37, 0.28, 0.28]
vecinos_predictores:
    Peso máximo al despegue (MTOW): [32.00, 31.58, 25.00, 24.00, 23.50]
    Peso Vacio (MTOW - payload): [22.00, 25.58, 20.00, 19.00, 18.50]
    Payload: [10.00, 6.00, 5.00, 5.00, 5.00]
    Envergadura: [3.50, 4.35, 3.20, 3.90, 3.20]
    Longitud del fuselaje: [1.88, 2.18, 1.98, nan, 1.00]
    Autonomía de la aeronave (h): [2.80, 3.50, 4.00, 4.50, 4.50]
    Alcance de la aeronave (km): [252.00, 244.44, 300.00, 405.00, 324.00]
    Velocidad a la que se realiza el crucero (m/s TAS): [26.93, 20.90, 23.70, 26.93, 21.55]
    Velocidad máxima (m/s IAS): [33.00, nan, nan, 33.00, 33.00]
Iteración imputación:   1.00
</t>
      </text>
    </comment>
    <comment ref="C53" authorId="1" shapeId="0">
      <text>
        <t xml:space="preserve">=== CÁLCULO APLICADO ===
formula:   Altitud asumida = 5000 pies
inputs:
</t>
      </text>
    </comment>
    <comment ref="D53" authorId="1" shapeId="0">
      <text>
        <t xml:space="preserve">=== CÁLCULO APLICADO ===
formula:   TAS_5000 = IAS / sqrt(σ_5000)
inputs:
    IAS:   25.00
    σ_5000:   0.86
</t>
      </text>
    </comment>
    <comment ref="M53" authorId="1" shapeId="0">
      <text>
        <t xml:space="preserve">=== CÁLCULO APLICADO ===
formula:   R[km] = h*3600*V/1000
inputs:
    Autonomía[h]:   4.00
    Velocidad[m/s]:   25.00
</t>
      </text>
    </comment>
    <comment ref="AA53" authorId="1" shapeId="0">
      <text>
        <t xml:space="preserve">=== CÁLCULO APLICADO ===
formula:   W0 = MTOW - Payload
inputs:
    MTOW:   68.00
    Payload:   20.00
</t>
      </text>
    </comment>
    <comment ref="C54" authorId="1" shapeId="0">
      <text>
        <t xml:space="preserve">=== CÁLCULO APLICADO ===
formula:   Altitud asumida = 5000 pies
inputs:
</t>
      </text>
    </comment>
    <comment ref="D54" authorId="1" shapeId="0">
      <text>
        <t xml:space="preserve">=== IMPUTED VALUE ===
Aeronave:   YANGDA Sky Whale Max Hybrid Heavy Lift Long Endurance VTOL Drone
Parámetro:   Velocidad a la que se realiza el crucero (m/s TAS)
Valor imputado:   25.55
Confianza:   0.23
Método predictivo:   Similitud
Iteración imputación:   1.00
variable_independiente_1:   None
=== SIMILARITY DETAILS ===
Aeronave:   YANGDA Sky Whale Max Hybrid Heavy Lift Long Endurance VTOL Drone
Parámetro:   Velocidad a la que se realiza el crucero (m/s TAS)
Valor imputado:   25.55
Confianza:   0.23
Vecinos entrenamiento: [Shield AI V-BAT 128, JOUAV CW-30E, Aerosonde Mk. 4.7 VTOL, Skyeye 5000, Skyeye 3600 VTOL, AeroVironment JUMP 20, AeroVironment JUMP 20-X, Edge Autonomy Penguin C Mk 2.5 VTOL, Volitation VT370]
k:   9.00
Penalizacion_k:   0.98
Confianza Similitud:   0.27
Confianza Datos:   0.84
Confianza CV:   0.51
CV:   0.25
Dispersión:   6.41
Advertencia:   confianza_baja
Método predictivo:   Similitud
Familia:   Filtrado directo
coeficientes_similitud: [0.36, 0.36, 0.32, 0.23, 0.22, 0.17, 0.17, 0.15, 0.00]
valores_vecinos: [14.11, 26.93, 26.93, 35.55, 32.32, 27.79, 27.79, 16.59, 26.93]
aeronaves_similares_detalle:
  - Item 1:
        aeronave:   Shield AI V-BAT 128
        coeficiente_similitud:   0.36
        valor_parametro:   14.11
        parametros_validos:   4.00
        familias_cumplidas:   3.00
        diferencias_promedio:   22.02
        razon_aceptacion:   Cumple ≥3 familias
  - Item 2:
        aeronave:   JOUAV CW-30E
        coeficiente_similitud:   0.36
        valor_parametro:   26.93
        parametros_validos:   4.00
        familias_cumplidas:   3.00
        diferencias_promedio:   20.18
        razon_aceptacion:   Cumple ≥3 familias
  - Item 3:
        aeronave:   Aerosonde Mk. 4.7 VTOL
        coeficiente_similitud:   0.32
        valor_parametro:   26.93
        parametros_validos:   4.00
        familias_cumplidas:   3.00
        diferencias_promedio:   15.58
        razon_aceptacion:   Cumple ≥3 familias
  - Item 4:
        aeronave:   Skyeye 5000
        coeficiente_similitud:   0.23
        valor_parametro:   35.55
        parametros_validos:   4.00
        familias_cumplidas:   3.00
        diferencias_promedio:   24.57
        razon_aceptacion:   Cumple ≥3 familias
  - Item 5:
        aeronave:   Skyeye 3600 VTOL
        coeficiente_similitud:   0.22
        valor_parametro:   32.32
        parametros_validos:   4.00
        familias_cumplidas:   3.00
        diferencias_promedio:   27.42
        razon_aceptacion:   Cumple ≥3 familias
  - Item 6:
        aeronave:   AeroVironment JUMP 20
        coeficiente_similitud:   0.17
        valor_parametro:   27.79
        parametros_validos:   4.00
        familias_cumplidas:   3.00
        diferencias_promedio:   27.79
        razon_aceptacion:   Cumple ≥3 familias
  - Item 7:
        aeronave:   AeroVironment JUMP 20-X
        coeficiente_similitud:   0.17
        valor_parametro:   27.79
        parametros_validos:   4.00
        familias_cumplidas:   3.00
        diferencias_promedio:   27.79
        razon_aceptacion:   Cumple ≥3 familias
  - Item 8:
        aeronave:   Edge Autonomy Penguin C Mk 2.5 VTOL
        coeficiente_similitud:   0.15
        valor_parametro:   16.59
        parametros_validos:   3.00
        familias_cumplidas:   3.00
        diferencias_promedio:   23.70
        razon_aceptacion:   Cumple ≥3 familias
  - Item 9:
        aeronave:   Volitation VT370
        coeficiente_similitud:   0.00
        valor_parametro:   26.93
        parametros_validos:   4.00
        familias_cumplidas:   3.00
        diferencias_promedio:   36.40
        razon_aceptacion:   Cumple ≥3 familias
sim_vals: [0.36, 0.36, 0.32, 0.23, 0.22, 0.17, 0.17, 0.15, 0.00]
vecinos_predictores:
    Peso máximo al despegue (MTOW): [73.00, 38.00, 53.50, 90.00, 40.00, 97.50, 97.50, 41.00, 40.00]
    Peso Vacio (MTOW - payload): [61.70, 28.00, 42.20, 70.00, 30.00, 84.50, 83.90, nan, 22.00]
    Payload: [11.30, 10.00, 11.30, 20.00, 10.00, 13.00, 13.60, nan, 18.00]
    Área del ala: [nan, nan, 1.55, 2.62, 1.32, nan, nan, nan, nan]
    Envergadura: [2.90, 4.40, 4.40, 5.00, 3.60, 5.70, 5.70, 4.12, 6.50]
    Longitud del fuselaje: [2.74, 2.30, 3.00, 3.50, 2.42, 2.90, 2.90, nan, 2.02]
    Ancho del fuselaje: [nan, nan, 0.28, 0.38, nan, nan, nan, nan, nan]
    Relación de aspecto del ala: [nan, nan, 12.50, nan, nan, nan, nan, nan, nan]
    Autonomía de la aeronave (h): [13.00, 8.00, 12.00, 8.00, 6.00, 13.00, 13.00, 12.00, 15.00]
    Alcance de la aeronave (km): [613.08, 720.00, 1080.00, 950.40, 300.00, 1207.44, 1207.44, 665.28, 1350.00]
    Velocidad máxima (m/s IAS): [25.00, nan, 33.44, 42.00, 33.00, nan, nan, 33.50, 33.00]
    Rango de comunicación: [130.00, 200.00, 140.00, nan, nan, 185.00, 185.00, 180.00, nan]
    Potencia HP: [23.00, nan, 4.00, nan, nan, nan, nan, nan, nan]
    Potencia Watts: [nan, nan, 2980.00, nan, nan, nan, nan, nan, nan]
Iteración imputación:   1.00
</t>
      </text>
    </comment>
    <comment ref="G54" authorId="1" shapeId="0">
      <text>
        <t xml:space="preserve">=== IMPUTED VALUE ===
Aeronave:   YANGDA Sky Whale Max Hybrid Heavy Lift Long Endurance VTOL Drone
Parámetro:   Área del ala
Valor imputado:   1.81
Confianza:   0.10
Método predictivo:   Similitud
Iteración imputación:   1.00
variable_independiente_1:   None
=== SIMILARITY DETAILS ===
Aeronave:   YANGDA Sky Whale Max Hybrid Heavy Lift Long Endurance VTOL Drone
Parámetro:   Área del ala
Valor imputado:   1.81
Confianza:   0.10
Vecinos entrenamiento: [Aerosonde Mk. 4.7 VTOL, Skyeye 5000, Skyeye 3600 VTOL]
k:   3.00
Penalizacion_k:   0.36
Confianza Similitud:   0.26
Confianza Datos:   0.36
Confianza CV:   0.38
CV:   0.31
Dispersión:   0.56
Advertencia:   confianza_baja
Método predictivo:   Similitud
Familia:   Filtrado directo
coeficientes_similitud: [0.32, 0.23, 0.22]
valores_vecinos: [1.55, 2.62, 1.32]
aeronaves_similares_detalle:
  - Item 1:
        aeronave:   Aerosonde Mk. 4.7 VTOL
        coeficiente_similitud:   0.32
        valor_parametro:   1.55
        parametros_validos:   4.00
        familias_cumplidas:   3.00
        diferencias_promedio:   15.58
        razon_aceptacion:   Cumple ≥3 familias
  - Item 2:
        aeronave:   Skyeye 5000
        coeficiente_similitud:   0.23
        valor_parametro:   2.62
        parametros_validos:   4.00
        familias_cumplidas:   3.00
        diferencias_promedio:   24.57
        razon_aceptacion:   Cumple ≥3 familias
  - Item 3:
        aeronave:   Skyeye 3600 VTOL
        coeficiente_similitud:   0.22
        valor_parametro:   1.32
        parametros_validos:   4.00
        familias_cumplidas:   3.00
        diferencias_promedio:   27.42
        razon_aceptacion:   Cumple ≥3 familias
sim_vals: [0.32, 0.23, 0.22]
vecinos_predictores:
    Peso máximo al despegue (MTOW): [53.50, 90.00, 40.00]
    Peso Vacio (MTOW - payload): [42.20, 70.00, 30.00]
    Payload: [11.30, 20.00, 10.00]
    Envergadura: [4.40, 5.00, 3.60]
    Longitud del fuselaje: [3.00, 3.50, 2.42]
    Ancho del fuselaje: [0.28, 0.38, nan]
    Relación de aspecto del ala: [12.50, nan, nan]
    Autonomía de la aeronave (h): [12.00, 8.00, 6.00]
    Alcance de la aeronave (km): [1080.00, 950.40, 300.00]
    Velocidad a la que se realiza el crucero (m/s TAS): [26.93, 35.55, 32.32]
    Velocidad máxima (m/s IAS): [33.44, 42.00, 33.00]
    Rango de comunicación: [140.00, nan, nan]
    Potencia HP: [4.00, nan, nan]
    Potencia Watts: [2980.00, nan, nan]
Iteración imputación:   1.00
</t>
      </text>
    </comment>
    <comment ref="M54" authorId="1" shapeId="0">
      <text>
        <t xml:space="preserve">=== IMPUTED VALUE ===
Aeronave:   YANGDA Sky Whale Max Hybrid Heavy Lift Long Endurance VTOL Drone
Parámetro:   Alcance de la aeronave (km)
Valor imputado:   819.56
Confianza:   0.21
Método predictivo:   Similitud
Iteración imputación:   1.00
variable_independiente_1:   None
=== SIMILARITY DETAILS ===
Aeronave:   YANGDA Sky Whale Max Hybrid Heavy Lift Long Endurance VTOL Drone
Parámetro:   Alcance de la aeronave (km)
Valor imputado:   819.56
Confianza:   0.21
Vecinos entrenamiento: [Shield AI V-BAT 128, JOUAV CW-30E, Aerosonde Mk. 4.7 VTOL, Skyeye 5000, Skyeye 3600 VTOL, AeroVironment JUMP 20, AeroVironment JUMP 20-X, Edge Autonomy Penguin C Mk 2.5 VTOL, Volitation VT370]
k:   9.00
Penalizacion_k:   0.98
Confianza Similitud:   0.27
Confianza Datos:   0.77
Confianza CV:   0.28
CV:   0.36
Dispersión:   325.97
Advertencia:   confianza_baja
Método predictivo:   Similitud
Familia:   Filtrado directo
coeficientes_similitud: [0.36, 0.36, 0.32, 0.23, 0.22, 0.17, 0.17, 0.15, 0.00]
valores_vecinos: [613.08, 720.00, 1080.00, 950.40, 300.00, 1207.44, 1207.44, 665.28, 1350.00]
aeronaves_similares_detalle:
  - Item 1:
        aeronave:   Shield AI V-BAT 128
        coeficiente_similitud:   0.36
        valor_parametro:   613.08
        parametros_validos:   4.00
        familias_cumplidas:   3.00
        diferencias_promedio:   22.02
        razon_aceptacion:   Cumple ≥3 familias
  - Item 2:
        aeronave:   JOUAV CW-30E
        coeficiente_similitud:   0.36
        valor_parametro:   720.00
        parametros_validos:   4.00
        familias_cumplidas:   3.00
        diferencias_promedio:   20.18
        razon_aceptacion:   Cumple ≥3 familias
  - Item 3:
        aeronave:   Aerosonde Mk. 4.7 VTOL
        coeficiente_similitud:   0.32
        valor_parametro:   1080.00
        parametros_validos:   4.00
        familias_cumplidas:   3.00
        diferencias_promedio:   15.58
        razon_aceptacion:   Cumple ≥3 familias
  - Item 4:
        aeronave:   Skyeye 5000
        coeficiente_similitud:   0.23
        valor_parametro:   950.40
        parametros_validos:   4.00
        familias_cumplidas:   3.00
        diferencias_promedio:   24.57
        razon_aceptacion:   Cumple ≥3 familias
  - Item 5:
        aeronave:   Skyeye 3600 VTOL
        coeficiente_similitud:   0.22
        valor_parametro:   300.00
        parametros_validos:   4.00
        familias_cumplidas:   3.00
        diferencias_promedio:   27.42
        razon_aceptacion:   Cumple ≥3 familias
  - Item 6:
        aeronave:   AeroVironment JUMP 20
        coeficiente_similitud:   0.17
        valor_parametro:   1207.44
        parametros_validos:   4.00
        familias_cumplidas:   3.00
        diferencias_promedio:   27.79
        razon_aceptacion:   Cumple ≥3 familias
  - Item 7:
        aeronave:   AeroVironment JUMP 20-X
        coeficiente_similitud:   0.17
        valor_parametro:   1207.44
        parametros_validos:   4.00
        familias_cumplidas:   3.00
        diferencias_promedio:   27.79
        razon_aceptacion:   Cumple ≥3 familias
  - Item 8:
        aeronave:   Edge Autonomy Penguin C Mk 2.5 VTOL
        coeficiente_similitud:   0.15
        valor_parametro:   665.28
        parametros_validos:   3.00
        familias_cumplidas:   3.00
        diferencias_promedio:   23.70
        razon_aceptacion:   Cumple ≥3 familias
  - Item 9:
        aeronave:   Volitation VT370
        coeficiente_similitud:   0.00
        valor_parametro:   1350.00
        parametros_validos:   4.00
        familias_cumplidas:   3.00
        diferencias_promedio:   36.40
        razon_aceptacion:   Cumple ≥3 familias
sim_vals: [0.36, 0.36, 0.32, 0.23, 0.22, 0.17, 0.17, 0.15, 0.00]
vecinos_predictores:
    Peso máximo al despegue (MTOW): [73.00, 38.00, 53.50, 90.00, 40.00, 97.50, 97.50, 41.00, 40.00]
    Peso Vacio (MTOW - payload): [61.70, 28.00, 42.20, 70.00, 30.00, 84.50, 83.90, nan, 22.00]
    Payload: [11.30, 10.00, 11.30, 20.00, 10.00, 13.00, 13.60, nan, 18.00]
    Área del ala: [nan, nan, 1.55, 2.62, 1.32, nan, nan, nan, nan]
    Envergadura: [2.90, 4.40, 4.40, 5.00, 3.60, 5.70, 5.70, 4.12, 6.50]
    Longitud del fuselaje: [2.74, 2.30, 3.00, 3.50, 2.42, 2.90, 2.90, nan, 2.02]
    Ancho del fuselaje: [nan, nan, 0.28, 0.38, nan, nan, nan, nan, nan]
    Relación de aspecto del ala: [nan, nan, 12.50, nan, nan, nan, nan, nan, nan]
    Autonomía de la aeronave (h): [13.00, 8.00, 12.00, 8.00, 6.00, 13.00, 13.00, 12.00, 15.00]
    Velocidad a la que se realiza el crucero (m/s TAS): [14.11, 26.93, 26.93, 35.55, 32.32, 27.79, 27.79, 16.59, 26.93]
    Velocidad máxima (m/s IAS): [25.00, nan, 33.44, 42.00, 33.00, nan, nan, 33.50, 33.00]
    Rango de comunicación: [130.00, 200.00, 140.00, nan, nan, 185.00, 185.00, 180.00, nan]
    Potencia HP: [23.00, nan, 4.00, nan, nan, nan, nan, nan, nan]
    Potencia Watts: [nan, nan, 2980.00, nan, nan, nan, nan, nan, nan]
Iteración imputación:   1.00
</t>
      </text>
    </comment>
    <comment ref="O54" authorId="1" shapeId="0">
      <text>
        <t xml:space="preserve">=== IMPUTED VALUE ===
Aeronave:   YANGDA Sky Whale Max Hybrid Heavy Lift Long Endurance VTOL Drone
Parámetro:   Velocidad máxima (m/s IAS)
Valor imputado:   32.55
Confianza:   0.22
Método predictivo:   Similitud
Iteración imputación:   1.00
variable_independiente_1:   None
=== SIMILARITY DETAILS ===
Aeronave:   YANGDA Sky Whale Max Hybrid Heavy Lift Long Endurance VTOL Drone
Parámetro:   Velocidad máxima (m/s IAS)
Valor imputado:   32.55
Confianza:   0.22
Vecinos entrenamiento: [Shield AI V-BAT 128, Aerosonde Mk. 4.7 VTOL, Skyeye 5000, Skyeye 3600 VTOL, Edge Autonomy Penguin C Mk 2.5 VTOL, Volitation VT370]
k:   6.00
Penalizacion_k:   0.83
Confianza Similitud:   0.28
Confianza Datos:   0.79
Confianza CV:   0.71
CV:   0.15
Dispersión:   4.91
Advertencia:   confianza_baja
Método predictivo:   Similitud
Familia:   Filtrado directo
coeficientes_similitud: [0.36, 0.32, 0.23, 0.22, 0.15, 0.00]
valores_vecinos: [25.00, 33.44, 42.00, 33.00, 33.50, 33.00]
aeronaves_similares_detalle:
  - Item 1:
        aeronave:   Shield AI V-BAT 128
        coeficiente_similitud:   0.36
        valor_parametro:   25.00
        parametros_validos:   4.00
        familias_cumplidas:   3.00
        diferencias_promedio:   22.02
        razon_aceptacion:   Cumple ≥3 familias
  - Item 2:
        aeronave:   Aerosonde Mk. 4.7 VTOL
        coeficiente_similitud:   0.32
        valor_parametro:   33.44
        parametros_validos:   4.00
        familias_cumplidas:   3.00
        diferencias_promedio:   15.58
        razon_aceptacion:   Cumple ≥3 familias
  - Item 3:
        aeronave:   Skyeye 5000
        coeficiente_similitud:   0.23
        valor_parametro:   42.00
        parametros_validos:   4.00
        familias_cumplidas:   3.00
        diferencias_promedio:   24.57
        razon_aceptacion:   Cumple ≥3 familias
  - Item 4:
        aeronave:   Skyeye 3600 VTOL
        coeficiente_similitud:   0.22
        valor_parametro:   33.00
        parametros_validos:   4.00
        familias_cumplidas:   3.00
        diferencias_promedio:   27.42
        razon_aceptacion:   Cumple ≥3 familias
  - Item 5:
        aeronave:   Edge Autonomy Penguin C Mk 2.5 VTOL
        coeficiente_similitud:   0.15
        valor_parametro:   33.50
        parametros_validos:   3.00
        familias_cumplidas:   3.00
        diferencias_promedio:   23.70
        razon_aceptacion:   Cumple ≥3 familias
  - Item 6:
        aeronave:   Volitation VT370
        coeficiente_similitud:   0.00
        valor_parametro:   33.00
        parametros_validos:   4.00
        familias_cumplidas:   3.00
        diferencias_promedio:   36.40
        razon_aceptacion:   Cumple ≥3 familias
sim_vals: [0.36, 0.32, 0.23, 0.22, 0.15, 0.00]
vecinos_predictores:
    Peso máximo al despegue (MTOW): [73.00, 53.50, 90.00, 40.00, 41.00, 40.00]
    Peso Vacio (MTOW - payload): [61.70, 42.20, 70.00, 30.00, nan, 22.00]
    Payload: [11.30, 11.30, 20.00, 10.00, nan, 18.00]
    Área del ala: [nan, 1.55, 2.62, 1.32, nan, nan]
    Envergadura: [2.90, 4.40, 5.00, 3.60, 4.12, 6.50]
    Longitud del fuselaje: [2.74, 3.00, 3.50, 2.42, nan, 2.02]
    Ancho del fuselaje: [nan, 0.28, 0.38, nan, nan, nan]
    Relación de aspecto del ala: [nan, 12.50, nan, nan, nan, nan]
    Autonomía de la aeronave (h): [13.00, 12.00, 8.00, 6.00, 12.00, 15.00]
    Alcance de la aeronave (km): [613.08, 1080.00, 950.40, 300.00, 665.28, 1350.00]
    Velocidad a la que se realiza el crucero (m/s TAS): [14.11, 26.93, 35.55, 32.32, 16.59, 26.93]
    Rango de comunicación: [130.00, 140.00, nan, nan, 180.00, nan]
    Potencia HP: [23.00, 4.00, nan, nan, nan, nan]
    Potencia Watts: [nan, 2980.00, nan, nan, nan, nan]
Iteración imputación:   1.00
</t>
      </text>
    </comment>
    <comment ref="U54" authorId="1" shapeId="0">
      <text>
        <t xml:space="preserve">=== IMPUTED VALUE ===
Aeronave:   YANGDA Sky Whale Max Hybrid Heavy Lift Long Endurance VTOL Drone
Parámetro:   Payload
Valor imputado:   12.36
Confianza:   0.23
Método predictivo:   Similitud
Iteración imputación:   1.00
variable_independiente_1:   None
=== SIMILARITY DETAILS ===
Aeronave:   YANGDA Sky Whale Max Hybrid Heavy Lift Long Endurance VTOL Drone
Parámetro:   Payload
Valor imputado:   12.36
Confianza:   0.23
Vecinos entrenamiento: [Shield AI V-BAT 128, JOUAV CW-30E, Aerosonde Mk. 4.7 VTOL, Skyeye 5000, Skyeye 3600 VTOL, AeroVironment JUMP 20, AeroVironment JUMP 20-X, Volitation VT370]
k:   8.00
Penalizacion_k:   0.97
Confianza Similitud:   0.28
Confianza Datos:   0.82
Confianza CV:   0.48
CV:   0.26
Dispersión:   3.48
Advertencia:   confianza_baja
Método predictivo:   Similitud
Familia:   Filtrado directo
coeficientes_similitud: [0.36, 0.36, 0.32, 0.23, 0.22, 0.17, 0.17, 0.00]
valores_vecinos: [11.30, 10.00, 11.30, 20.00, 10.00, 13.00, 13.60, 18.00]
aeronaves_similares_detalle:
  - Item 1:
        aeronave:   Shield AI V-BAT 128
        coeficiente_similitud:   0.36
        valor_parametro:   11.30
        parametros_validos:   4.00
        familias_cumplidas:   3.00
        diferencias_promedio:   22.02
        razon_aceptacion:   Cumple ≥3 familias
  - Item 2:
        aeronave:   JOUAV CW-30E
        coeficiente_similitud:   0.36
        valor_parametro:   10.00
        parametros_validos:   4.00
        familias_cumplidas:   3.00
        diferencias_promedio:   20.18
        razon_aceptacion:   Cumple ≥3 familias
  - Item 3:
        aeronave:   Aerosonde Mk. 4.7 VTOL
        coeficiente_similitud:   0.32
        valor_parametro:   11.30
        parametros_validos:   4.00
        familias_cumplidas:   3.00
        diferencias_promedio:   15.58
        razon_aceptacion:   Cumple ≥3 familias
  - Item 4:
        aeronave:   Skyeye 5000
        coeficiente_similitud:   0.23
        valor_parametro:   20.00
        parametros_validos:   4.00
        familias_cumplidas:   3.00
        diferencias_promedio:   24.57
        razon_aceptacion:   Cumple ≥3 familias
  - Item 5:
        aeronave:   Skyeye 3600 VTOL
        coeficiente_similitud:   0.22
        valor_parametro:   10.00
        parametros_validos:   4.00
        familias_cumplidas:   3.00
        diferencias_promedio:   27.42
        razon_aceptacion:   Cumple ≥3 familias
  - Item 6:
        aeronave:   AeroVironment JUMP 20
        coeficiente_similitud:   0.17
        valor_parametro:   13.00
        parametros_validos:   4.00
        familias_cumplidas:   3.00
        diferencias_promedio:   27.79
        razon_aceptacion:   Cumple ≥3 familias
  - Item 7:
        aeronave:   AeroVironment JUMP 20-X
        coeficiente_similitud:   0.17
        valor_parametro:   13.60
        parametros_validos:   4.00
        familias_cumplidas:   3.00
        diferencias_promedio:   27.79
        razon_aceptacion:   Cumple ≥3 familias
  - Item 8:
        aeronave:   Volitation VT370
        coeficiente_similitud:   0.00
        valor_parametro:   18.00
        parametros_validos:   4.00
        familias_cumplidas:   3.00
        diferencias_promedio:   36.40
        razon_aceptacion:   Cumple ≥3 familias
sim_vals: [0.36, 0.36, 0.32, 0.23, 0.22, 0.17, 0.17, 0.00]
vecinos_predictores:
    Peso máximo al despegue (MTOW): [73.00, 38.00, 53.50, 90.00, 40.00, 97.50, 97.50, 40.00]
    Peso Vacio (MTOW - payload): [61.70, 28.00, 42.20, 70.00, 30.00, 84.50, 83.90, 22.00]
    Área del ala: [nan, nan, 1.55, 2.62, 1.32, nan, nan, nan]
    Envergadura: [2.90, 4.40, 4.40, 5.00, 3.60, 5.70, 5.70, 6.50]
    Longitud del fuselaje: [2.74, 2.30, 3.00, 3.50, 2.42, 2.90, 2.90, 2.02]
    Ancho del fuselaje: [nan, nan, 0.28, 0.38, nan, nan, nan, nan]
    Relación de aspecto del ala: [nan, nan, 12.50, nan, nan, nan, nan, nan]
    Autonomía de la aeronave (h): [13.00, 8.00, 12.00, 8.00, 6.00, 13.00, 13.00, 15.00]
    Alcance de la aeronave (km): [613.08, 720.00, 1080.00, 950.40, 300.00, 1207.44, 1207.44, 1350.00]
    Velocidad a la que se realiza el crucero (m/s TAS): [14.11, 26.93, 26.93, 35.55, 32.32, 27.79, 27.79, 26.93]
    Velocidad máxima (m/s IAS): [25.00, nan, 33.44, 42.00, 33.00, nan, nan, 33.00]
    Rango de comunicación: [130.00, 200.00, 140.00, nan, nan, 185.00, 185.00, nan]
    Potencia HP: [23.00, nan, 4.00, nan, nan, nan, nan, nan]
    Potencia Watts: [nan, nan, 2980.00, nan, nan, nan, nan, nan]
Iteración imputación:   1.00
</t>
      </text>
    </comment>
    <comment ref="AA54" authorId="1" shapeId="0">
      <text>
        <t xml:space="preserve">=== IMPUTED VALUE ===
Aeronave:   YANGDA Sky Whale Max Hybrid Heavy Lift Long Endurance VTOL Drone
Parámetro:   Peso Vacio (MTOW - payload)
Valor imputado:   53.13
Confianza:   0.20
Método predictivo:   Similitud
Iteración imputación:   1.00
variable_independiente_1:   None
=== SIMILARITY DETAILS ===
Aeronave:   YANGDA Sky Whale Max Hybrid Heavy Lift Long Endurance VTOL Drone
Parámetro:   Peso Vacio (MTOW - payload)
Valor imputado:   53.13
Confianza:   0.20
Vecinos entrenamiento: [Shield AI V-BAT 128, JOUAV CW-30E, Aerosonde Mk. 4.7 VTOL, Skyeye 5000, Skyeye 3600 VTOL, AeroVironment JUMP 20, AeroVironment JUMP 20-X, Volitation VT370]
k:   8.00
Penalizacion_k:   0.97
Confianza Similitud:   0.28
Confianza Datos:   0.70
Confianza CV:   0.10
CV:   0.45
Dispersión:   23.83
Advertencia:   confianza_baja
Método predictivo:   Similitud
Familia:   Filtrado directo
coeficientes_similitud: [0.36, 0.36, 0.32, 0.23, 0.22, 0.17, 0.17, 0.00]
valores_vecinos: [61.70, 28.00, 42.20, 70.00, 30.00, 84.50, 83.90, 22.00]
aeronaves_similares_detalle:
  - Item 1:
        aeronave:   Shield AI V-BAT 128
        coeficiente_similitud:   0.36
        valor_parametro:   61.70
        parametros_validos:   4.00
        familias_cumplidas:   3.00
        diferencias_promedio:   22.02
        razon_aceptacion:   Cumple ≥3 familias
  - Item 2:
        aeronave:   JOUAV CW-30E
        coeficiente_similitud:   0.36
        valor_parametro:   28.00
        parametros_validos:   4.00
        familias_cumplidas:   3.00
        diferencias_promedio:   20.18
        razon_aceptacion:   Cumple ≥3 familias
  - Item 3:
        aeronave:   Aerosonde Mk. 4.7 VTOL
        coeficiente_similitud:   0.32
        valor_parametro:   42.20
        parametros_validos:   4.00
        familias_cumplidas:   3.00
        diferencias_promedio:   15.58
        razon_aceptacion:   Cumple ≥3 familias
  - Item 4:
        aeronave:   Skyeye 5000
        coeficiente_similitud:   0.23
        valor_parametro:   70.00
        parametros_validos:   4.00
        familias_cumplidas:   3.00
        diferencias_promedio:   24.57
        razon_aceptacion:   Cumple ≥3 familias
  - Item 5:
        aeronave:   Skyeye 3600 VTOL
        coeficiente_similitud:   0.22
        valor_parametro:   30.00
        parametros_validos:   4.00
        familias_cumplidas:   3.00
        diferencias_promedio:   27.42
        razon_aceptacion:   Cumple ≥3 familias
  - Item 6:
        aeronave:   AeroVironment JUMP 20
        coeficiente_similitud:   0.17
        valor_parametro:   84.50
        parametros_validos:   4.00
        familias_cumplidas:   3.00
        diferencias_promedio:   27.79
        razon_aceptacion:   Cumple ≥3 familias
  - Item 7:
        aeronave:   AeroVironment JUMP 20-X
        coeficiente_similitud:   0.17
        valor_parametro:   83.90
        parametros_validos:   4.00
        familias_cumplidas:   3.00
        diferencias_promedio:   27.79
        razon_aceptacion:   Cumple ≥3 familias
  - Item 8:
        aeronave:   Volitation VT370
        coeficiente_similitud:   0.00
        valor_parametro:   22.00
        parametros_validos:   4.00
        familias_cumplidas:   3.00
        diferencias_promedio:   36.40
        razon_aceptacion:   Cumple ≥3 familias
sim_vals: [0.36, 0.36, 0.32, 0.23, 0.22, 0.17, 0.17, 0.00]
vecinos_predictores:
    Peso máximo al despegue (MTOW): [73.00, 38.00, 53.50, 90.00, 40.00, 97.50, 97.50, 40.00]
    Payload: [11.30, 10.00, 11.30, 20.00, 10.00, 13.00, 13.60, 18.00]
    Área del ala: [nan, nan, 1.55, 2.62, 1.32, nan, nan, nan]
    Envergadura: [2.90, 4.40, 4.40, 5.00, 3.60, 5.70, 5.70, 6.50]
    Longitud del fuselaje: [2.74, 2.30, 3.00, 3.50, 2.42, 2.90, 2.90, 2.02]
    Ancho del fuselaje: [nan, nan, 0.28, 0.38, nan, nan, nan, nan]
    Relación de aspecto del ala: [nan, nan, 12.50, nan, nan, nan, nan, nan]
    Autonomía de la aeronave (h): [13.00, 8.00, 12.00, 8.00, 6.00, 13.00, 13.00, 15.00]
    Alcance de la aeronave (km): [613.08, 720.00, 1080.00, 950.40, 300.00, 1207.44, 1207.44, 1350.00]
    Velocidad a la que se realiza el crucero (m/s TAS): [14.11, 26.93, 26.93, 35.55, 32.32, 27.79, 27.79, 26.93]
    Velocidad máxima (m/s IAS): [25.00, nan, 33.44, 42.00, 33.00, nan, nan, 33.00]
    Rango de comunicación: [130.00, 200.00, 140.00, nan, nan, 185.00, 185.00, nan]
    Potencia HP: [23.00, nan, 4.00, nan, nan, nan, nan, nan]
    Potencia Watts: [nan, nan, 2980.00, nan, nan, nan, nan, nan]
Iteración imputación:   1.00
</t>
      </text>
    </comment>
    <comment ref="AD54" authorId="1" shapeId="0">
      <text>
        <t xml:space="preserve">=== IMPUTED VALUE ===
Aeronave:   YANGDA Sky Whale Max Hybrid Heavy Lift Long Endurance VTOL Drone
Parámetro:   Rango de comunicación
Valor imputado:   165.68
Confianza:   0.23
Método predictivo:   Similitud
Iteración imputación:   1.00
variable_independiente_1:   None
=== SIMILARITY DETAILS ===
Aeronave:   YANGDA Sky Whale Max Hybrid Heavy Lift Long Endurance VTOL Drone
Parámetro:   Rango de comunicación
Valor imputado:   165.68
Confianza:   0.23
Vecinos entrenamiento: [Shield AI V-BAT 128, JOUAV CW-30E, Aerosonde Mk. 4.7 VTOL, AeroVironment JUMP 20, AeroVironment JUMP 20-X, Edge Autonomy Penguin C Mk 2.5 VTOL]
k:   6.00
Penalizacion_k:   0.83
Confianza Similitud:   0.29
Confianza Datos:   0.79
Confianza CV:   0.70
CV:   0.15
Dispersión:   25.66
Advertencia:   confianza_baja
Método predictivo:   Similitud
Familia:   Filtrado directo
coeficientes_similitud: [0.36, 0.36, 0.32, 0.17, 0.17, 0.15]
valores_vecinos: [130.00, 200.00, 140.00, 185.00, 185.00, 180.00]
aeronaves_similares_detalle:
  - Item 1:
        aeronave:   Shield AI V-BAT 128
        coeficiente_similitud:   0.36
        valor_parametro:   130.00
        parametros_validos:   4.00
        familias_cumplidas:   3.00
        diferencias_promedio:   22.02
        razon_aceptacion:   Cumple ≥3 familias
  - Item 2:
        aeronave:   JOUAV CW-30E
        coeficiente_similitud:   0.36
        valor_parametro:   200.00
        parametros_validos:   4.00
        familias_cumplidas:   3.00
        diferencias_promedio:   20.18
        razon_aceptacion:   Cumple ≥3 familias
  - Item 3:
        aeronave:   Aerosonde Mk. 4.7 VTOL
        coeficiente_similitud:   0.32
        valor_parametro:   140.00
        parametros_validos:   4.00
        familias_cumplidas:   3.00
        diferencias_promedio:   15.58
        razon_aceptacion:   Cumple ≥3 familias
  - Item 4:
        aeronave:   AeroVironment JUMP 20
        coeficiente_similitud:   0.17
        valor_parametro:   185.00
        parametros_validos:   4.00
        familias_cumplidas:   3.00
        diferencias_promedio:   27.79
        razon_aceptacion:   Cumple ≥3 familias
  - Item 5:
        aeronave:   AeroVironment JUMP 20-X
        coeficiente_similitud:   0.17
        valor_parametro:   185.00
        parametros_validos:   4.00
        familias_cumplidas:   3.00
        diferencias_promedio:   27.79
        razon_aceptacion:   Cumple ≥3 familias
  - Item 6:
        aeronave:   Edge Autonomy Penguin C Mk 2.5 VTOL
        coeficiente_similitud:   0.15
        valor_parametro:   180.00
        parametros_validos:   3.00
        familias_cumplidas:   3.00
        diferencias_promedio:   23.70
        razon_aceptacion:   Cumple ≥3 familias
sim_vals: [0.36, 0.36, 0.32, 0.17, 0.17, 0.15]
vecinos_predictores:
    Peso máximo al despegue (MTOW): [73.00, 38.00, 53.50, 97.50, 97.50, 41.00]
    Peso Vacio (MTOW - payload): [61.70, 28.00, 42.20, 84.50, 83.90, nan]
    Payload: [11.30, 10.00, 11.30, 13.00, 13.60, nan]
    Área del ala: [nan, nan, 1.55, nan, nan, nan]
    Envergadura: [2.90, 4.40, 4.40, 5.70, 5.70, 4.12]
    Longitud del fuselaje: [2.74, 2.30, 3.00, 2.90, 2.90, nan]
    Ancho del fuselaje: [nan, nan, 0.28, nan, nan, nan]
    Relación de aspecto del ala: [nan, nan, 12.50, nan, nan, nan]
    Autonomía de la aeronave (h): [13.00, 8.00, 12.00, 13.00, 13.00, 12.00]
    Alcance de la aeronave (km): [613.08, 720.00, 1080.00, 1207.44, 1207.44, 665.28]
    Velocidad a la que se realiza el crucero (m/s TAS): [14.11, 26.93, 26.93, 27.79, 27.79, 16.59]
    Velocidad máxima (m/s IAS): [25.00, nan, 33.44, nan, nan, 33.50]
    Potencia HP: [23.00, nan, 4.00, nan, nan, nan]
    Potencia Watts: [nan, nan, 2980.00, nan, nan, nan]
Iteración imputación:   1.00
</t>
      </text>
    </comment>
    <comment ref="C55" authorId="1" shapeId="0">
      <text>
        <t xml:space="preserve">=== CÁLCULO APLICADO ===
formula:   Altitud asumida = 5000 pies
inputs:
</t>
      </text>
    </comment>
    <comment ref="D55" authorId="1" shapeId="0">
      <text>
        <t xml:space="preserve">=== CÁLCULO APLICADO ===
formula:   TAS_5000 = IAS / sqrt(σ_5000)
inputs:
    IAS:   27.70
    σ_5000:   0.86
</t>
      </text>
    </comment>
    <comment ref="M55" authorId="1" shapeId="0">
      <text>
        <t xml:space="preserve">=== CÁLCULO APLICADO ===
formula:   R[km] = h*3600*V/1000
inputs:
    Autonomía[h]:   3.20
    Velocidad[m/s]:   27.70
</t>
      </text>
    </comment>
    <comment ref="AA55" authorId="1" shapeId="0">
      <text>
        <t xml:space="preserve">=== CÁLCULO APLICADO ===
formula:   W0 = MTOW - Payload
inputs:
    MTOW:   18.50
    Payload:   8.50
</t>
      </text>
    </comment>
    <comment ref="C56" authorId="1" shapeId="0">
      <text>
        <t xml:space="preserve">=== CÁLCULO APLICADO ===
formula:   Altitud asumida = 5000 pies
inputs:
</t>
      </text>
    </comment>
    <comment ref="D56" authorId="1" shapeId="0">
      <text>
        <t xml:space="preserve">=== CÁLCULO APLICADO ===
formula:   TAS_5000 = IAS / sqrt(σ_5000)
inputs:
    IAS:   22.00
    σ_5000:   0.86
</t>
      </text>
    </comment>
    <comment ref="O56" authorId="1" shapeId="0">
      <text>
        <t xml:space="preserve">=== IMPUTED VALUE ===
Aeronave:   DOOSAN DJ25
Parámetro:   Velocidad máxima (m/s IAS)
Valor imputado:   28.56
Confianza:   0.13
Método predictivo:   Similitud
Iteración imputación:   1.00
variable_independiente_1:   None
=== SIMILARITY DETAILS ===
Aeronave:   DOOSAN DJ25
Parámetro:   Velocidad máxima (m/s IAS)
Valor imputado:   28.56
Confianza:   0.13
Vecinos entrenamiento: [Skyeye 2930 VTOL, Stalker VXE30 Fuel Cell, Autel Dragonfish Pro]
k:   3.00
Penalizacion_k:   0.36
Confianza Similitud:   0.26
Confianza Datos:   0.50
Confianza CV:   0.83
CV:   0.08
Dispersión:   2.34
Advertencia:   confianza_baja
Método predictivo:   Similitud
Familia:   Filtrado directo
coeficientes_similitud: [0.32, 0.13, 0.00]
valores_vecinos: [30.00, 25.03, 30.00]
aeronaves_similares_detalle:
  - Item 1:
        aeronave:   Skyeye 2930 VTOL
        coeficiente_similitud:   0.32
        valor_parametro:   30.00
        parametros_validos:   8.00
        familias_cumplidas:   3.00
        diferencias_promedio:   27.20
        razon_aceptacion:   Cumple ≥3 familias
  - Item 2:
        aeronave:   Stalker VXE30 Fuel Cell
        coeficiente_similitud:   0.13
        valor_parametro:   25.03
        parametros_validos:   9.00
        familias_cumplidas:   3.00
        diferencias_promedio:   30.95
        razon_aceptacion:   Cumple ≥3 familias
  - Item 3:
        aeronave:   Autel Dragonfish Pro
        coeficiente_similitud:   0.00
        valor_parametro:   30.00
        parametros_validos:   6.00
        familias_cumplidas:   3.00
        diferencias_promedio:   36.69
        razon_aceptacion:   Cumple ≥3 familias
sim_vals: [0.32, 0.13, 0.00]
vecinos_predictores:
    Peso máximo al despegue (MTOW): [28.00, 19.95, 19.00]
    Peso Vacio (MTOW - payload): [22.00, 17.46, 16.80]
    Payload: [6.00, 2.49, 2.20]
    Área del ala: [1.00, 1.16, nan]
    Envergadura: [2.93, 4.88, 2.98]
    Longitud del fuselaje: [2.03, 2.59, 1.66]
    Ancho del fuselaje: [nan, 0.20, nan]
    Relación de aspecto del ala: [nan, 15.33, nan]
    Autonomía de la aeronave (h): [3.00, 8.00, 3.00]
    Alcance de la aeronave (km): [259.20, 433.00, nan]
    Velocidad a la que se realiza el crucero (m/s TAS): [25.85, 17.34, nan]
    Rango de comunicación: [nan, 100.00, nan]
Iteración imputación:   1.00
</t>
      </text>
    </comment>
    <comment ref="AA56" authorId="1" shapeId="0">
      <text>
        <t xml:space="preserve">=== CÁLCULO APLICADO ===
formula:   W0 = MTOW - Payload
inputs:
    MTOW:   31.00
    Payload:   4.00
</t>
      </text>
    </comment>
    <comment ref="D57" authorId="1" shapeId="0">
      <text>
        <t xml:space="preserve">=== CÁLCULO APLICADO ===
formula:   TAS_5000 = IAS / sqrt(σ_5000)
inputs:
    IAS:   18.00
    σ_5000:   0.86
</t>
      </text>
    </comment>
    <comment ref="M57" authorId="1" shapeId="0">
      <text>
        <t xml:space="preserve">=== CÁLCULO APLICADO ===
formula:   R[km] = h*3600*V/1000
inputs:
    Autonomía[h]:   1.00
    Velocidad[m/s]:   18.00
</t>
      </text>
    </comment>
    <comment ref="S57" authorId="1" shapeId="0">
      <text>
        <t xml:space="preserve">
=== CORRELATION DETAILS ===
Aeronave:   WingtraOne GEN II
Parámetro:   Envergadura
Valor imputado:   nan
Confianza:   0.00
Corr:   0.00
k:   0.00
Tipo Modelo:   n/a
Predictores:   
Penalizacion_k:   0.00
Familia:   F2
Método predictivo:   Correlacion
Advertencia:   ❌ Todos los modelos descartados por LOOCV (MAPE &gt; 12.5% o R2 &lt;= 0.45)
Iteración imputación:   1.00
</t>
      </text>
    </comment>
    <comment ref="C58" authorId="1" shapeId="0">
      <text>
        <t xml:space="preserve">=== CÁLCULO APLICADO ===
formula:   Altitud asumida = 5000 pies
inputs:
</t>
      </text>
    </comment>
    <comment ref="D58" authorId="1" shapeId="0">
      <text>
        <t xml:space="preserve">=== CÁLCULO APLICADO ===
formula:   TAS_5000 = IAS / sqrt(σ_5000)
inputs:
    IAS:   17.00
    σ_5000:   0.86
</t>
      </text>
    </comment>
    <comment ref="I58" authorId="1" shapeId="0">
      <text>
        <t xml:space="preserve">=== IMPUTED VALUE ===
Aeronave:   Trinity Pro
Parámetro:   Longitud del fuselaje
Valor imputado:   1.35
Confianza:   0.28
Método predictivo:   Similitud
Iteración imputación:   1.00
variable_independiente_1:   None
=== SIMILARITY DETAILS ===
Aeronave:   Trinity Pro
Parámetro:   Longitud del fuselaje
Valor imputado:   1.35
Confianza:   0.28
Vecinos entrenamiento: [Trinity F90+, Raybe (BETA UAS), FIXAR 007 NG]
k:   3.00
Penalizacion_k:   0.36
Confianza Similitud:   0.67
Confianza Datos:   0.42
Confianza CV:   0.56
CV:   0.22
Dispersión:   0.26
Advertencia:   confianza_baja
Método predictivo:   Similitud
Familia:   Filtrado directo
coeficientes_similitud: [0.88, 0.43, 0.17]
valores_vecinos: [1.48, 1.27, 0.85]
aeronaves_similares_detalle:
  - Item 1:
        aeronave:   Trinity F90+
        coeficiente_similitud:   0.88
        valor_parametro:   1.48
        parametros_validos:   6.00
        familias_cumplidas:   3.00
        diferencias_promedio:   3.66
        razon_aceptacion:   Cumple ≥3 familias
  - Item 2:
        aeronave:   Raybe (BETA UAS)
        coeficiente_similitud:   0.43
        valor_parametro:   1.27
        parametros_validos:   6.00
        familias_cumplidas:   3.00
        diferencias_promedio:   21.52
        razon_aceptacion:   Cumple ≥3 familias
  - Item 3:
        aeronave:   FIXAR 007 NG
        coeficiente_similitud:   0.17
        valor_parametro:   0.85
        parametros_validos:   5.00
        familias_cumplidas:   3.00
        diferencias_promedio:   24.41
        razon_aceptacion:   Cumple ≥3 familias
sim_vals: [0.88, 0.43, 0.17]
vecinos_predictores:
    Peso máximo al despegue (MTOW): [5.00, 5.20, 7.00]
    Peso Vacio (MTOW - payload): [4.30, 3.65, 5.00]
    Payload: [0.70, 0.50, 2.00]
    Envergadura: [2.39, 1.83, 1.62]
    Autonomía de la aeronave (h): [1.50, 0.83, 1.17]
    Alcance de la aeronave (km): [100.00, 50.80, 55.00]
    Velocidad a la que se realiza el crucero (m/s TAS): [18.31, 18.31, 19.39]
    Velocidad máxima (m/s IAS): [nan, 22.00, 24.00]
    Rango de comunicación: [7.50, 8.00, nan]
Iteración imputación:   1.00
</t>
      </text>
    </comment>
    <comment ref="M58" authorId="1" shapeId="0">
      <text>
        <t xml:space="preserve">=== CÁLCULO APLICADO ===
formula:   R[km] = h*3600*V/1000
inputs:
    Autonomía[h]:   1.50
    Velocidad[m/s]:   17.00
</t>
      </text>
    </comment>
    <comment ref="U58" authorId="1" shapeId="0">
      <text>
        <t xml:space="preserve">=== IMPUTED VALUE ===
Aeronave:   Trinity Pro
Parámetro:   Payload
Valor imputado:   3.96
Confianza:   0.23
Método predictivo:   Similitud
Iteración imputación:   1.00
variable_independiente_1:   None
=== SIMILARITY DETAILS ===
Aeronave:   Trinity Pro
Parámetro:   Payload
Valor imputado:   3.96
Confianza:   0.23
Vecinos entrenamiento: [Trinity F90+, Raybe (BETA UAS), Atmos Marlyn Cobalt (VTOL ala fija), FIXAR 007 NG]
k:   4.00
Penalizacion_k:   0.53
Confianza Similitud:   0.61
Confianza Datos:   0.37
Confianza CV:   0.00
CV:   1.34
Dispersión:   6.19
Advertencia:   confianza_baja, alta_variabilidad
Método predictivo:   Similitud
Familia:   Filtrado directo
coeficientes_similitud: [0.88, 0.43, 0.41, 0.17]
valores_vecinos: [0.70, 0.50, 15.30, 2.00]
aeronaves_similares_detalle:
  - Item 1:
        aeronave:   Trinity F90+
        coeficiente_similitud:   0.88
        valor_parametro:   0.70
        parametros_validos:   6.00
        familias_cumplidas:   3.00
        diferencias_promedio:   3.66
        razon_aceptacion:   Cumple ≥3 familias
  - Item 2:
        aeronave:   Raybe (BETA UAS)
        coeficiente_similitud:   0.43
        valor_parametro:   0.50
        parametros_validos:   6.00
        familias_cumplidas:   3.00
        diferencias_promedio:   21.52
        razon_aceptacion:   Cumple ≥3 familias
  - Item 3:
        aeronave:   Atmos Marlyn Cobalt (VTOL ala fija)
        coeficiente_similitud:   0.41
        valor_parametro:   15.30
        parametros_validos:   6.00
        familias_cumplidas:   3.00
        diferencias_promedio:   22.79
        razon_aceptacion:   Cumple ≥3 familias
  - Item 4:
        aeronave:   FIXAR 007 NG
        coeficiente_similitud:   0.17
        valor_parametro:   2.00
        parametros_validos:   5.00
        familias_cumplidas:   3.00
        diferencias_promedio:   24.41
        razon_aceptacion:   Cumple ≥3 familias
sim_vals: [0.88, 0.43, 0.41, 0.17]
vecinos_predictores:
    Peso máximo al despegue (MTOW): [5.00, 5.20, 6.40, 7.00]
    Peso Vacio (MTOW - payload): [4.30, 3.65, -8.90, 5.00]
    Envergadura: [2.39, 1.83, 1.60, 1.62]
    Longitud del fuselaje: [1.48, 1.27, nan, 0.85]
    Autonomía de la aeronave (h): [1.50, 0.83, 0.83, 1.17]
    Alcance de la aeronave (km): [100.00, 50.80, 54.08, 55.00]
    Velocidad a la que se realiza el crucero (m/s TAS): [18.31, 18.31, 19.50, 19.39]
    Velocidad máxima (m/s IAS): [nan, 22.00, nan, 24.00]
    Rango de comunicación: [7.50, 8.00, 7.50, nan]
Iteración imputación:   1.00
</t>
      </text>
    </comment>
    <comment ref="AA58" authorId="1" shapeId="0">
      <text>
        <t xml:space="preserve">=== IMPUTED VALUE ===
Aeronave:   Trinity Pro
Parámetro:   Peso Vacio (MTOW - payload)
Valor imputado:   1.34
Confianza:   0.23
Método predictivo:   Similitud
Iteración imputación:   1.00
variable_independiente_1:   None
=== SIMILARITY DETAILS ===
Aeronave:   Trinity Pro
Parámetro:   Peso Vacio (MTOW - payload)
Valor imputado:   1.34
Confianza:   0.23
Vecinos entrenamiento: [Trinity F90+, Raybe (BETA UAS), Atmos Marlyn Cobalt (VTOL ala fija), FIXAR 007 NG]
k:   4.00
Penalizacion_k:   0.53
Confianza Similitud:   0.61
Confianza Datos:   0.37
Confianza CV:   0.00
CV:   5.67
Dispersión:   5.74
Advertencia:   confianza_baja, alta_variabilidad
Método predictivo:   Similitud
Familia:   Filtrado directo
coeficientes_similitud: [0.88, 0.43, 0.41, 0.17]
valores_vecinos: [4.30, 3.65, -8.90, 5.00]
aeronaves_similares_detalle:
  - Item 1:
        aeronave:   Trinity F90+
        coeficiente_similitud:   0.88
        valor_parametro:   4.30
        parametros_validos:   6.00
        familias_cumplidas:   3.00
        diferencias_promedio:   3.66
        razon_aceptacion:   Cumple ≥3 familias
  - Item 2:
        aeronave:   Raybe (BETA UAS)
        coeficiente_similitud:   0.43
        valor_parametro:   3.65
        parametros_validos:   6.00
        familias_cumplidas:   3.00
        diferencias_promedio:   21.52
        razon_aceptacion:   Cumple ≥3 familias
  - Item 3:
        aeronave:   Atmos Marlyn Cobalt (VTOL ala fija)
        coeficiente_similitud:   0.41
        valor_parametro:   -8.90
        parametros_validos:   6.00
        familias_cumplidas:   3.00
        diferencias_promedio:   22.79
        razon_aceptacion:   Cumple ≥3 familias
  - Item 4:
        aeronave:   FIXAR 007 NG
        coeficiente_similitud:   0.17
        valor_parametro:   5.00
        parametros_validos:   5.00
        familias_cumplidas:   3.00
        diferencias_promedio:   24.41
        razon_aceptacion:   Cumple ≥3 familias
sim_vals: [0.88, 0.43, 0.41, 0.17]
vecinos_predictores:
    Peso máximo al despegue (MTOW): [5.00, 5.20, 6.40, 7.00]
    Payload: [0.70, 0.50, 15.30, 2.00]
    Envergadura: [2.39, 1.83, 1.60, 1.62]
    Longitud del fuselaje: [1.48, 1.27, nan, 0.85]
    Autonomía de la aeronave (h): [1.50, 0.83, 0.83, 1.17]
    Alcance de la aeronave (km): [100.00, 50.80, 54.08, 55.00]
    Velocidad a la que se realiza el crucero (m/s TAS): [18.31, 18.31, 19.50, 19.39]
    Velocidad máxima (m/s IAS): [nan, 22.00, nan, 24.00]
    Rango de comunicación: [7.50, 8.00, 7.50, nan]
Iteración imputación:   1.00
</t>
      </text>
    </comment>
    <comment ref="C59" authorId="1" shapeId="0">
      <text>
        <t xml:space="preserve">=== CÁLCULO APLICADO ===
formula:   Altitud asumida = 5000 pies
inputs:
</t>
      </text>
    </comment>
    <comment ref="D59" authorId="1" shapeId="0">
      <text>
        <t xml:space="preserve">=== CÁLCULO APLICADO ===
formula:   TAS_5000 = IAS / sqrt(σ_5000)
inputs:
    IAS:   17.00
    σ_5000:   0.86
</t>
      </text>
    </comment>
    <comment ref="AA59" authorId="1" shapeId="0">
      <text>
        <t xml:space="preserve">=== CÁLCULO APLICADO ===
formula:   W0 = MTOW - Payload
inputs:
    MTOW:   5.00
    Payload:   0.70
</t>
      </text>
    </comment>
    <comment ref="C60" authorId="1" shapeId="0">
      <text>
        <t xml:space="preserve">=== CÁLCULO APLICADO ===
formula:   Altitud asumida = 5000 pies
inputs:
</t>
      </text>
    </comment>
    <comment ref="D60" authorId="1" shapeId="0">
      <text>
        <t xml:space="preserve">=== CÁLCULO APLICADO ===
formula:   TAS_5000 = IAS / sqrt(σ_5000)
inputs:
    IAS:   20.00
    σ_5000:   0.86
</t>
      </text>
    </comment>
    <comment ref="M60" authorId="1" shapeId="0">
      <text>
        <t xml:space="preserve">=== CÁLCULO APLICADO ===
formula:   R[km] = h*3600*V/1000
inputs:
    Autonomía[h]:   3.00
    Velocidad[m/s]:   20.00
</t>
      </text>
    </comment>
    <comment ref="O60" authorId="1" shapeId="0">
      <text>
        <t xml:space="preserve">=== IMPUTED VALUE ===
Aeronave:   Vector
Parámetro:   Velocidad máxima (m/s IAS)
Valor imputado:   31.93
Confianza:   0.20
Método predictivo:   Similitud
Iteración imputación:   1.00
variable_independiente_1:   None
=== SIMILARITY DETAILS ===
Aeronave:   Vector
Parámetro:   Velocidad máxima (m/s IAS)
Valor imputado:   31.93
Confianza:   0.20
Vecinos entrenamiento: [V21, Autel Dragonfish, V25]
k:   3.00
Penalizacion_k:   0.36
Confianza Similitud:   0.39
Confianza Datos:   0.52
Confianza CV:   0.91
CV:   0.04
Dispersión:   1.41
Advertencia:   confianza_baja
Método predictivo:   Similitud
Familia:   Filtrado directo
coeficientes_similitud: [0.47, 0.39, 0.22]
valores_vecinos: [33.00, 30.00, 33.00]
aeronaves_similares_detalle:
  - Item 1:
        aeronave:   V21
        coeficiente_similitud:   0.47
        valor_parametro:   33.00
        parametros_validos:   7.00
        familias_cumplidas:   3.00
        diferencias_promedio:   19.50
        razon_aceptacion:   Cumple ≥3 familias
  - Item 2:
        aeronave:   Autel Dragonfish
        coeficiente_similitud:   0.39
        valor_parametro:   30.00
        parametros_validos:   4.00
        familias_cumplidas:   3.00
        diferencias_promedio:   19.70
        razon_aceptacion:   Cumple ≥3 familias
  - Item 3:
        aeronave:   V25
        coeficiente_similitud:   0.22
        valor_parametro:   33.00
        parametros_validos:   7.00
        familias_cumplidas:   3.00
        diferencias_promedio:   28.39
        razon_aceptacion:   Cumple ≥3 familias
sim_vals: [0.47, 0.39, 0.22]
vecinos_predictores:
    Peso máximo al despegue (MTOW): [10.00, 9.00, 12.50]
    Peso Vacio (MTOW - payload): [8.50, 7.50, 10.30]
    Payload: [1.50, 1.50, 2.20]
    Área del ala: [0.80, nan, 0.52]
    Envergadura: [2.15, 2.30, 2.45]
    Longitud del fuselaje: [0.93, 1.29, 0.93]
    Autonomía de la aeronave (h): [3.00, 1.75, 4.00]
    Alcance de la aeronave (km): [194.40, nan, 288.00]
    Velocidad a la que se realiza el crucero (m/s TAS): [19.39, nan, 21.55]
    Rango de comunicación: [30.00, nan, 30.00]
Iteración imputación:   1.00
</t>
      </text>
    </comment>
    <comment ref="U60" authorId="1" shapeId="0">
      <text>
        <t xml:space="preserve">=== IMPUTED VALUE ===
Aeronave:   Vector
Parámetro:   Payload
Valor imputado:   1.64
Confianza:   0.17
Método predictivo:   Similitud
Iteración imputación:   1.00
variable_independiente_1:   None
=== SIMILARITY DETAILS ===
Aeronave:   Vector
Parámetro:   Payload
Valor imputado:   1.64
Confianza:   0.17
Vecinos entrenamiento: [V21, Autel Dragonfish, V25]
k:   3.00
Penalizacion_k:   0.36
Confianza Similitud:   0.39
Confianza Datos:   0.43
Confianza CV:   0.62
CV:   0.19
Dispersión:   0.33
Advertencia:   confianza_baja
Método predictivo:   Similitud
Familia:   Filtrado directo
coeficientes_similitud: [0.47, 0.39, 0.22]
valores_vecinos: [1.50, 1.50, 2.20]
aeronaves_similares_detalle:
  - Item 1:
        aeronave:   V21
        coeficiente_similitud:   0.47
        valor_parametro:   1.50
        parametros_validos:   7.00
        familias_cumplidas:   3.00
        diferencias_promedio:   19.50
        razon_aceptacion:   Cumple ≥3 familias
  - Item 2:
        aeronave:   Autel Dragonfish
        coeficiente_similitud:   0.39
        valor_parametro:   1.50
        parametros_validos:   4.00
        familias_cumplidas:   3.00
        diferencias_promedio:   19.70
        razon_aceptacion:   Cumple ≥3 familias
  - Item 3:
        aeronave:   V25
        coeficiente_similitud:   0.22
        valor_parametro:   2.20
        parametros_validos:   7.00
        familias_cumplidas:   3.00
        diferencias_promedio:   28.39
        razon_aceptacion:   Cumple ≥3 familias
sim_vals: [0.47, 0.39, 0.22]
vecinos_predictores:
    Peso máximo al despegue (MTOW): [10.00, 9.00, 12.50]
    Peso Vacio (MTOW - payload): [8.50, 7.50, 10.30]
    Área del ala: [0.80, nan, 0.52]
    Envergadura: [2.15, 2.30, 2.45]
    Longitud del fuselaje: [0.93, 1.29, 0.93]
    Autonomía de la aeronave (h): [3.00, 1.75, 4.00]
    Alcance de la aeronave (km): [194.40, nan, 288.00]
    Velocidad a la que se realiza el crucero (m/s TAS): [19.39, nan, 21.55]
    Velocidad máxima (m/s IAS): [33.00, 30.00, 33.00]
    Rango de comunicación: [30.00, nan, 30.00]
Iteración imputación:   1.00
</t>
      </text>
    </comment>
    <comment ref="AA60" authorId="1" shapeId="0">
      <text>
        <t xml:space="preserve">=== IMPUTED VALUE ===
Aeronave:   Vector
Parámetro:   Peso Vacio (MTOW - payload)
Valor imputado:   8.51
Confianza:   0.18
Método predictivo:   Similitud
Iteración imputación:   1.00
variable_independiente_1:   None
=== SIMILARITY DETAILS ===
Aeronave:   Vector
Parámetro:   Peso Vacio (MTOW - payload)
Valor imputado:   8.51
Confianza:   0.18
Vecinos entrenamiento: [V21, Autel Dragonfish, V25]
k:   3.00
Penalizacion_k:   0.36
Confianza Similitud:   0.39
Confianza Datos:   0.47
Confianza CV:   0.74
CV:   0.13
Dispersión:   1.16
Advertencia:   confianza_baja
Método predictivo:   Similitud
Familia:   Filtrado directo
coeficientes_similitud: [0.47, 0.39, 0.22]
valores_vecinos: [8.50, 7.50, 10.30]
aeronaves_similares_detalle:
  - Item 1:
        aeronave:   V21
        coeficiente_similitud:   0.47
        valor_parametro:   8.50
        parametros_validos:   7.00
        familias_cumplidas:   3.00
        diferencias_promedio:   19.50
        razon_aceptacion:   Cumple ≥3 familias
  - Item 2:
        aeronave:   Autel Dragonfish
        coeficiente_similitud:   0.39
        valor_parametro:   7.50
        parametros_validos:   4.00
        familias_cumplidas:   3.00
        diferencias_promedio:   19.70
        razon_aceptacion:   Cumple ≥3 familias
  - Item 3:
        aeronave:   V25
        coeficiente_similitud:   0.22
        valor_parametro:   10.30
        parametros_validos:   7.00
        familias_cumplidas:   3.00
        diferencias_promedio:   28.39
        razon_aceptacion:   Cumple ≥3 familias
sim_vals: [0.47, 0.39, 0.22]
vecinos_predictores:
    Peso máximo al despegue (MTOW): [10.00, 9.00, 12.50]
    Payload: [1.50, 1.50, 2.20]
    Área del ala: [0.80, nan, 0.52]
    Envergadura: [2.15, 2.30, 2.45]
    Longitud del fuselaje: [0.93, 1.29, 0.93]
    Autonomía de la aeronave (h): [3.00, 1.75, 4.00]
    Alcance de la aeronave (km): [194.40, nan, 288.00]
    Velocidad a la que se realiza el crucero (m/s TAS): [19.39, nan, 21.55]
    Velocidad máxima (m/s IAS): [33.00, 30.00, 33.00]
    Rango de comunicación: [30.00, nan, 30.00]
Iteración imputación:   1.00
</t>
      </text>
    </comment>
    <comment ref="C61" authorId="1" shapeId="0">
      <text>
        <t xml:space="preserve">=== CÁLCULO APLICADO ===
formula:   Altitud asumida = 5000 pies
inputs:
</t>
      </text>
    </comment>
    <comment ref="D61" authorId="1" shapeId="0">
      <text>
        <t xml:space="preserve">=== CÁLCULO APLICADO ===
formula:   TAS_5000 = IAS / sqrt(σ_5000)
inputs:
    IAS:   22.00
    σ_5000:   0.86
</t>
      </text>
    </comment>
    <comment ref="AA61" authorId="1" shapeId="0">
      <text>
        <t xml:space="preserve">=== CÁLCULO APLICADO ===
formula:   W0 = MTOW - Payload
inputs:
    MTOW:   25.00
    Payload:   5.00
</t>
      </text>
    </comment>
    <comment ref="C62" authorId="1" shapeId="0">
      <text>
        <t xml:space="preserve">=== CÁLCULO APLICADO ===
formula:   Altitud asumida = 5000 pies
inputs:
</t>
      </text>
    </comment>
    <comment ref="D62" authorId="1" shapeId="0">
      <text>
        <t xml:space="preserve">=== CÁLCULO APLICADO ===
formula:   TAS_5000 = IAS / sqrt(σ_5000)
inputs:
    IAS:   25.00
    σ_5000:   0.86
</t>
      </text>
    </comment>
    <comment ref="AA62" authorId="1" shapeId="0">
      <text>
        <t xml:space="preserve">=== CÁLCULO APLICADO ===
formula:   W0 = MTOW - Payload
inputs:
    MTOW:   19.50
    Payload:   3.00
</t>
      </text>
    </comment>
    <comment ref="C63" authorId="1" shapeId="0">
      <text>
        <t xml:space="preserve">=== CÁLCULO APLICADO ===
formula:   Altitud asumida = 5000 pies
inputs:
</t>
      </text>
    </comment>
    <comment ref="D63" authorId="1" shapeId="0">
      <text>
        <t xml:space="preserve">=== CÁLCULO APLICADO ===
formula:   TAS_5000 = IAS / sqrt(σ_5000)
inputs:
    IAS:   16.00
    σ_5000:   0.86
</t>
      </text>
    </comment>
    <comment ref="AA63" authorId="1" shapeId="0">
      <text>
        <t xml:space="preserve">=== CÁLCULO APLICADO ===
formula:   W0 = MTOW - Payload
inputs:
    MTOW:   9.30
    Payload:   1.30
</t>
      </text>
    </comment>
    <comment ref="C64" authorId="1" shapeId="0">
      <text>
        <t xml:space="preserve">=== CÁLCULO APLICADO ===
formula:   Altitud asumida = 5000 pies
inputs:
</t>
      </text>
    </comment>
    <comment ref="AA64" authorId="1" shapeId="0">
      <text>
        <t xml:space="preserve">=== CÁLCULO APLICADO ===
formula:   W0 = MTOW - Payload
inputs:
    MTOW:   25.00
    Payload:   8.00
</t>
      </text>
    </comment>
    <comment ref="C65" authorId="1" shapeId="0">
      <text>
        <t xml:space="preserve">=== CÁLCULO APLICADO ===
formula:   Altitud asumida = 5000 pies
inputs:
</t>
      </text>
    </comment>
    <comment ref="D65" authorId="1" shapeId="0">
      <text>
        <t xml:space="preserve">=== CÁLCULO APLICADO ===
formula:   TAS_5000 = IAS / sqrt(σ_5000)
inputs:
    IAS:   18.00
    σ_5000:   0.86
</t>
      </text>
    </comment>
    <comment ref="AA65" authorId="1" shapeId="0">
      <text>
        <t xml:space="preserve">=== CÁLCULO APLICADO ===
formula:   W0 = MTOW - Payload
inputs:
    MTOW:   7.00
    Payload:   2.00
</t>
      </text>
    </comment>
    <comment ref="C66" authorId="1" shapeId="0">
      <text>
        <t xml:space="preserve">=== CÁLCULO APLICADO ===
formula:   Altitud asumida = 5000 pies
inputs:
</t>
      </text>
    </comment>
    <comment ref="D66" authorId="1" shapeId="0">
      <text>
        <t xml:space="preserve">=== IMPUTED VALUE ===
Aeronave:   Autel Dragonfish
Parámetro:   Velocidad a la que se realiza el crucero (m/s TAS)
Valor imputado:   17.64
Confianza:   0.35
Método predictivo:   Similitud
Iteración imputación:   1.00
variable_independiente_1:   None
=== SIMILARITY DETAILS ===
Aeronave:   Autel Dragonfish
Parámetro:   Velocidad a la que se realiza el crucero (m/s TAS)
Valor imputado:   17.64
Confianza:   0.35
Vecinos entrenamiento: [Event 38 E400 VTOL, Trinity Pro, Mantis, DeltaQuad Pro #MAP, DeltaQuad Pro #CARGO, FIXAR 007 NG]
k:   6.00
Penalizacion_k:   0.83
Confianza Similitud:   0.42
Confianza Datos:   0.85
Confianza CV:   0.91
CV:   0.04
Dispersión:   0.79
Advertencia:   confianza_baja
Método predictivo:   Similitud
Familia:   Filtrado directo
coeficientes_similitud: [0.51, 0.46, 0.41, 0.31, 0.31, 0.00]
valores_vecinos: [17.24, 18.31, 17.99, 17.24, 17.24, 19.39]
aeronaves_similares_detalle:
  - Item 1:
        aeronave:   Event 38 E400 VTOL
        coeficiente_similitud:   0.51
        valor_parametro:   17.24
        parametros_validos:   6.00
        familias_cumplidas:   3.00
        diferencias_promedio:   14.06
        razon_aceptacion:   Cumple ≥3 familias
  - Item 2:
        aeronave:   Trinity Pro
        coeficiente_similitud:   0.46
        valor_parametro:   18.31
        parametros_validos:   3.00
        familias_cumplidas:   3.00
        diferencias_promedio:   18.16
        razon_aceptacion:   Cumple ≥3 familias
  - Item 3:
        aeronave:   Mantis
        coeficiente_similitud:   0.41
        valor_parametro:   17.99
        parametros_validos:   5.00
        familias_cumplidas:   3.00
        diferencias_promedio:   16.03
        razon_aceptacion:   Cumple ≥3 familias
  - Item 4:
        aeronave:   DeltaQuad Pro #MAP
        coeficiente_similitud:   0.31
        valor_parametro:   17.24
        parametros_validos:   6.00
        familias_cumplidas:   3.00
        diferencias_promedio:   20.24
        razon_aceptacion:   Cumple ≥3 familias
  - Item 5:
        aeronave:   DeltaQuad Pro #CARGO
        coeficiente_similitud:   0.31
        valor_parametro:   17.24
        parametros_validos:   6.00
        familias_cumplidas:   3.00
        diferencias_promedio:   20.24
        razon_aceptacion:   Cumple ≥3 familias
  - Item 6:
        aeronave:   FIXAR 007 NG
        coeficiente_similitud:   0.00
        valor_parametro:   19.39
        parametros_validos:   7.00
        familias_cumplidas:   3.00
        diferencias_promedio:   29.39
        razon_aceptacion:   Cumple ≥3 familias
sim_vals: [0.51, 0.46, 0.41, 0.31, 0.31, 0.00]
vecinos_predictores:
    Peso máximo al despegue (MTOW): [9.30, 5.75, 6.50, 6.20, 6.20, 7.00]
    Peso Vacio (MTOW - payload): [8.00, nan, nan, 5.00, 5.00, 5.00]
    Payload: [1.30, nan, nan, 1.20, 1.20, 2.00]
    Envergadura: [3.00, 2.39, 2.10, 2.35, 2.35, 1.62]
    Longitud del fuselaje: [1.50, nan, 1.48, 0.90, 0.90, 0.85]
    Autonomía de la aeronave (h): [1.50, 1.50, 2.00, 1.83, 1.83, 1.17]
    Alcance de la aeronave (km): [86.00, 91.80, 25.00, 100.00, 100.00, 55.00]
    Velocidad máxima (m/s IAS): [nan, nan, 25.60, nan, nan, 24.00]
    Rango de comunicación: [8.00, 7.50, 25.00, 50.00, 30.00, nan]
Iteración imputación:   1.00
</t>
      </text>
    </comment>
    <comment ref="M66" authorId="1" shapeId="0">
      <text>
        <t xml:space="preserve">=== IMPUTED VALUE ===
Aeronave:   Autel Dragonfish
Parámetro:   Alcance de la aeronave (km)
Valor imputado:   79.21
Confianza:   0.28
Método predictivo:   Similitud
Iteración imputación:   1.00
variable_independiente_1:   None
=== SIMILARITY DETAILS ===
Aeronave:   Autel Dragonfish
Parámetro:   Alcance de la aeronave (km)
Valor imputado:   79.21
Confianza:   0.28
Vecinos entrenamiento: [Event 38 E400 VTOL, Trinity Pro, Mantis, DeltaQuad Pro #MAP, DeltaQuad Pro #CARGO, FIXAR 007 NG]
k:   6.00
Penalizacion_k:   0.83
Confianza Similitud:   0.42
Confianza Datos:   0.66
Confianza CV:   0.28
CV:   0.36
Dispersión:   27.52
Advertencia:   confianza_baja
Método predictivo:   Similitud
Familia:   Filtrado directo
coeficientes_similitud: [0.51, 0.46, 0.41, 0.31, 0.31, 0.00]
valores_vecinos: [86.00, 91.80, 25.00, 100.00, 100.00, 55.00]
aeronaves_similares_detalle:
  - Item 1:
        aeronave:   Event 38 E400 VTOL
        coeficiente_similitud:   0.51
        valor_parametro:   86.00
        parametros_validos:   6.00
        familias_cumplidas:   3.00
        diferencias_promedio:   14.06
        razon_aceptacion:   Cumple ≥3 familias
  - Item 2:
        aeronave:   Trinity Pro
        coeficiente_similitud:   0.46
        valor_parametro:   91.80
        parametros_validos:   3.00
        familias_cumplidas:   3.00
        diferencias_promedio:   18.16
        razon_aceptacion:   Cumple ≥3 familias
  - Item 3:
        aeronave:   Mantis
        coeficiente_similitud:   0.41
        valor_parametro:   25.00
        parametros_validos:   5.00
        familias_cumplidas:   3.00
        diferencias_promedio:   16.03
        razon_aceptacion:   Cumple ≥3 familias
  - Item 4:
        aeronave:   DeltaQuad Pro #MAP
        coeficiente_similitud:   0.31
        valor_parametro:   100.00
        parametros_validos:   6.00
        familias_cumplidas:   3.00
        diferencias_promedio:   20.24
        razon_aceptacion:   Cumple ≥3 familias
  - Item 5:
        aeronave:   DeltaQuad Pro #CARGO
        coeficiente_similitud:   0.31
        valor_parametro:   100.00
        parametros_validos:   6.00
        familias_cumplidas:   3.00
        diferencias_promedio:   20.24
        razon_aceptacion:   Cumple ≥3 familias
  - Item 6:
        aeronave:   FIXAR 007 NG
        coeficiente_similitud:   0.00
        valor_parametro:   55.00
        parametros_validos:   7.00
        familias_cumplidas:   3.00
        diferencias_promedio:   29.39
        razon_aceptacion:   Cumple ≥3 familias
sim_vals: [0.51, 0.46, 0.41, 0.31, 0.31, 0.00]
vecinos_predictores:
    Peso máximo al despegue (MTOW): [9.30, 5.75, 6.50, 6.20, 6.20, 7.00]
    Peso Vacio (MTOW - payload): [8.00, nan, nan, 5.00, 5.00, 5.00]
    Payload: [1.30, nan, nan, 1.20, 1.20, 2.00]
    Envergadura: [3.00, 2.39, 2.10, 2.35, 2.35, 1.62]
    Longitud del fuselaje: [1.50, nan, 1.48, 0.90, 0.90, 0.85]
    Autonomía de la aeronave (h): [1.50, 1.50, 2.00, 1.83, 1.83, 1.17]
    Velocidad a la que se realiza el crucero (m/s TAS): [17.24, 18.31, 17.99, 17.24, 17.24, 19.39]
    Velocidad máxima (m/s IAS): [nan, nan, 25.60, nan, nan, 24.00]
    Rango de comunicación: [8.00, 7.50, 25.00, 50.00, 30.00, nan]
Iteración imputación:   1.00
</t>
      </text>
    </comment>
    <comment ref="AD66" authorId="1" shapeId="0">
      <text>
        <t xml:space="preserve">=== IMPUTED VALUE ===
Aeronave:   Autel Dragonfish
Parámetro:   Rango de comunicación
Valor imputado:   21.37
Confianza:   0.20
Método predictivo:   Similitud
Iteración imputación:   1.00
variable_independiente_1:   None
=== SIMILARITY DETAILS ===
Aeronave:   Autel Dragonfish
Parámetro:   Rango de comunicación
Valor imputado:   21.37
Confianza:   0.20
Vecinos entrenamiento: [Event 38 E400 VTOL, Trinity Pro, Mantis, DeltaQuad Pro #MAP, DeltaQuad Pro #CARGO]
k:   5.00
Penalizacion_k:   0.69
Confianza Similitud:   0.42
Confianza Datos:   0.48
Confianza CV:   0.00
CV:   0.65
Dispersión:   15.76
Advertencia:   confianza_baja, alta_variabilidad
Método predictivo:   Similitud
Familia:   Filtrado directo
coeficientes_similitud: [0.51, 0.46, 0.41, 0.31, 0.31]
valores_vecinos: [8.00, 7.50, 25.00, 50.00, 30.00]
aeronaves_similares_detalle:
  - Item 1:
        aeronave:   Event 38 E400 VTOL
        coeficiente_similitud:   0.51
        valor_parametro:   8.00
        parametros_validos:   6.00
        familias_cumplidas:   3.00
        diferencias_promedio:   14.06
        razon_aceptacion:   Cumple ≥3 familias
  - Item 2:
        aeronave:   Trinity Pro
        coeficiente_similitud:   0.46
        valor_parametro:   7.50
        parametros_validos:   3.00
        familias_cumplidas:   3.00
        diferencias_promedio:   18.16
        razon_aceptacion:   Cumple ≥3 familias
  - Item 3:
        aeronave:   Mantis
        coeficiente_similitud:   0.41
        valor_parametro:   25.00
        parametros_validos:   5.00
        familias_cumplidas:   3.00
        diferencias_promedio:   16.03
        razon_aceptacion:   Cumple ≥3 familias
  - Item 4:
        aeronave:   DeltaQuad Pro #MAP
        coeficiente_similitud:   0.31
        valor_parametro:   50.00
        parametros_validos:   6.00
        familias_cumplidas:   3.00
        diferencias_promedio:   20.24
        razon_aceptacion:   Cumple ≥3 familias
  - Item 5:
        aeronave:   DeltaQuad Pro #CARGO
        coeficiente_similitud:   0.31
        valor_parametro:   30.00
        parametros_validos:   6.00
        familias_cumplidas:   3.00
        diferencias_promedio:   20.24
        razon_aceptacion:   Cumple ≥3 familias
sim_vals: [0.51, 0.46, 0.41, 0.31, 0.31]
vecinos_predictores:
    Peso máximo al despegue (MTOW): [9.30, 5.75, 6.50, 6.20, 6.20]
    Peso Vacio (MTOW - payload): [8.00, nan, nan, 5.00, 5.00]
    Payload: [1.30, nan, nan, 1.20, 1.20]
    Envergadura: [3.00, 2.39, 2.10, 2.35, 2.35]
    Longitud del fuselaje: [1.50, nan, 1.48, 0.90, 0.90]
    Autonomía de la aeronave (h): [1.50, 1.50, 2.00, 1.83, 1.83]
    Alcance de la aeronave (km): [86.00, 91.80, 25.00, 100.00, 100.00]
    Velocidad a la que se realiza el crucero (m/s TAS): [17.24, 18.31, 17.99, 17.24, 17.24]
    Velocidad máxima (m/s IAS): [nan, nan, 25.60, nan, nan]
Iteración imputación:   1.00
</t>
      </text>
    </comment>
    <comment ref="C67" authorId="1" shapeId="0">
      <text>
        <t xml:space="preserve">=== CÁLCULO APLICADO ===
formula:   Altitud asumida = 5000 pies
inputs:
</t>
      </text>
    </comment>
    <comment ref="D67" authorId="1" shapeId="0">
      <text>
        <t xml:space="preserve">=== IMPUTED VALUE ===
Aeronave:   Autel Dragonfish Pro
Parámetro:   Velocidad a la que se realiza el crucero (m/s TAS)
Valor imputado:   20.14
Confianza:   0.34
Método predictivo:   Similitud
Iteración imputación:   1.00
variable_independiente_1:   None
=== SIMILARITY DETAILS ===
Aeronave:   Autel Dragonfish Pro
Parámetro:   Velocidad a la que se realiza el crucero (m/s TAS)
Valor imputado:   20.14
Confianza:   0.34
Vecinos entrenamiento: [Vector, Aliaca UAS EVO, JOUAV CW-15, V25, V21]
k:   5.00
Penalizacion_k:   0.69
Confianza Similitud:   0.46
Confianza Datos:   0.75
Confianza CV:   0.87
CV:   0.07
Dispersión:   1.31
Advertencia:   confianza_baja
Método predictivo:   Similitud
Familia:   Filtrado directo
coeficientes_similitud: [0.65, 0.49, 0.39, 0.27, 0.24]
valores_vecinos: [21.55, 19.39, 18.25, 21.55, 19.39]
aeronaves_similares_detalle:
  - Item 1:
        aeronave:   Vector
        coeficiente_similitud:   0.65
        valor_parametro:   21.55
        parametros_validos:   4.00
        familias_cumplidas:   3.00
        diferencias_promedio:   16.42
        razon_aceptacion:   Cumple ≥3 familias
  - Item 2:
        aeronave:   Aliaca UAS EVO
        coeficiente_similitud:   0.49
        valor_parametro:   19.39
        parametros_validos:   7.00
        familias_cumplidas:   3.00
        diferencias_promedio:   13.22
        razon_aceptacion:   Cumple ≥3 familias
  - Item 3:
        aeronave:   JOUAV CW-15
        coeficiente_similitud:   0.39
        valor_parametro:   18.25
        parametros_validos:   5.00
        familias_cumplidas:   3.00
        diferencias_promedio:   17.53
        razon_aceptacion:   Cumple ≥3 familias
  - Item 4:
        aeronave:   V25
        coeficiente_similitud:   0.27
        valor_parametro:   21.55
        parametros_validos:   7.00
        familias_cumplidas:   3.00
        diferencias_promedio:   25.43
        razon_aceptacion:   Cumple ≥3 familias
  - Item 5:
        aeronave:   V21
        coeficiente_similitud:   0.24
        valor_parametro:   19.39
        parametros_validos:   7.00
        familias_cumplidas:   3.00
        diferencias_promedio:   30.06
        razon_aceptacion:   Cumple ≥3 familias
sim_vals: [0.65, 0.49, 0.39, 0.27, 0.24]
vecinos_predictores:
    Peso máximo al despegue (MTOW): [9.50, 16.00, 17.00, 12.50, 10.00]
    Peso Vacio (MTOW - payload): [nan, 14.50, 14.00, 10.30, 8.50]
    Payload: [nan, 2.00, 3.00, 2.20, 1.50]
    Área del ala: [nan, nan, nan, 0.52, 0.80]
    Envergadura: [2.80, 3.60, nan, 2.45, 2.15]
    Longitud del fuselaje: [1.50, 2.10, 2.06, 0.93, 0.93]
    Autonomía de la aeronave (h): [3.00, 3.00, 3.00, 4.00, 3.00]
    Alcance de la aeronave (km): [216.00, 194.40, 182.95, 288.00, 194.40]
    Velocidad máxima (m/s IAS): [nan, 28.00, nan, 33.00, 33.00]
    Rango de comunicación: [60.00, 50.00, 50.00, 30.00, 30.00]
Iteración imputación:   1.00
</t>
      </text>
    </comment>
    <comment ref="M67" authorId="1" shapeId="0">
      <text>
        <t xml:space="preserve">=== IMPUTED VALUE ===
Aeronave:   Autel Dragonfish Pro
Parámetro:   Alcance de la aeronave (km)
Valor imputado:   211.46
Confianza:   0.31
Método predictivo:   Similitud
Iteración imputación:   1.00
variable_independiente_1:   None
=== SIMILARITY DETAILS ===
Aeronave:   Autel Dragonfish Pro
Parámetro:   Alcance de la aeronave (km)
Valor imputado:   211.46
Confianza:   0.31
Vecinos entrenamiento: [Vector, Aliaca UAS EVO, JOUAV CW-15, V25, V21]
k:   5.00
Penalizacion_k:   0.69
Confianza Similitud:   0.46
Confianza Datos:   0.68
Confianza CV:   0.65
CV:   0.18
Dispersión:   37.96
Advertencia:   confianza_baja
Método predictivo:   Similitud
Familia:   Filtrado directo
coeficientes_similitud: [0.65, 0.49, 0.39, 0.27, 0.24]
valores_vecinos: [216.00, 194.40, 182.95, 288.00, 194.40]
aeronaves_similares_detalle:
  - Item 1:
        aeronave:   Vector
        coeficiente_similitud:   0.65
        valor_parametro:   216.00
        parametros_validos:   4.00
        familias_cumplidas:   3.00
        diferencias_promedio:   16.42
        razon_aceptacion:   Cumple ≥3 familias
  - Item 2:
        aeronave:   Aliaca UAS EVO
        coeficiente_similitud:   0.49
        valor_parametro:   194.40
        parametros_validos:   7.00
        familias_cumplidas:   3.00
        diferencias_promedio:   13.22
        razon_aceptacion:   Cumple ≥3 familias
  - Item 3:
        aeronave:   JOUAV CW-15
        coeficiente_similitud:   0.39
        valor_parametro:   182.95
        parametros_validos:   5.00
        familias_cumplidas:   3.00
        diferencias_promedio:   17.53
        razon_aceptacion:   Cumple ≥3 familias
  - Item 4:
        aeronave:   V25
        coeficiente_similitud:   0.27
        valor_parametro:   288.00
        parametros_validos:   7.00
        familias_cumplidas:   3.00
        diferencias_promedio:   25.43
        razon_aceptacion:   Cumple ≥3 familias
  - Item 5:
        aeronave:   V21
        coeficiente_similitud:   0.24
        valor_parametro:   194.40
        parametros_validos:   7.00
        familias_cumplidas:   3.00
        diferencias_promedio:   30.06
        razon_aceptacion:   Cumple ≥3 familias
sim_vals: [0.65, 0.49, 0.39, 0.27, 0.24]
vecinos_predictores:
    Peso máximo al despegue (MTOW): [9.50, 16.00, 17.00, 12.50, 10.00]
    Peso Vacio (MTOW - payload): [nan, 14.50, 14.00, 10.30, 8.50]
    Payload: [nan, 2.00, 3.00, 2.20, 1.50]
    Área del ala: [nan, nan, nan, 0.52, 0.80]
    Envergadura: [2.80, 3.60, nan, 2.45, 2.15]
    Longitud del fuselaje: [1.50, 2.10, 2.06, 0.93, 0.93]
    Autonomía de la aeronave (h): [3.00, 3.00, 3.00, 4.00, 3.00]
    Velocidad a la que se realiza el crucero (m/s TAS): [21.55, 19.39, 18.25, 21.55, 19.39]
    Velocidad máxima (m/s IAS): [nan, 28.00, nan, 33.00, 33.00]
    Rango de comunicación: [60.00, 50.00, 50.00, 30.00, 30.00]
Iteración imputación:   1.00
</t>
      </text>
    </comment>
    <comment ref="AD67" authorId="1" shapeId="0">
      <text>
        <t xml:space="preserve">=== IMPUTED VALUE ===
Aeronave:   Autel Dragonfish Pro
Parámetro:   Rango de comunicación
Valor imputado:   48.40
Confianza:   0.32
Método predictivo:   Similitud
Iteración imputación:   1.00
variable_independiente_1:   None
=== SIMILARITY DETAILS ===
Aeronave:   Autel Dragonfish Pro
Parámetro:   Rango de comunicación
Valor imputado:   48.40
Confianza:   0.32
Vecinos entrenamiento: [Vector, Aliaca UAS EVO, JOUAV CW-15, Aliaca VTOL UAS EVO, V25, V21]
k:   6.00
Penalizacion_k:   0.83
Confianza Similitud:   0.44
Confianza Datos:   0.73
Confianza CV:   0.50
CV:   0.25
Dispersión:   11.18
Advertencia:   confianza_baja
Método predictivo:   Similitud
Familia:   Filtrado directo
coeficientes_similitud: [0.65, 0.49, 0.39, 0.33, 0.27, 0.24]
valores_vecinos: [60.00, 50.00, 50.00, 50.00, 30.00, 30.00]
aeronaves_similares_detalle:
  - Item 1:
        aeronave:   Vector
        coeficiente_similitud:   0.65
        valor_parametro:   60.00
        parametros_validos:   4.00
        familias_cumplidas:   3.00
        diferencias_promedio:   16.42
        razon_aceptacion:   Cumple ≥3 familias
  - Item 2:
        aeronave:   Aliaca UAS EVO
        coeficiente_similitud:   0.49
        valor_parametro:   50.00
        parametros_validos:   7.00
        familias_cumplidas:   3.00
        diferencias_promedio:   13.22
        razon_aceptacion:   Cumple ≥3 familias
  - Item 3:
        aeronave:   JOUAV CW-15
        coeficiente_similitud:   0.39
        valor_parametro:   50.00
        parametros_validos:   5.00
        familias_cumplidas:   3.00
        diferencias_promedio:   17.53
        razon_aceptacion:   Cumple ≥3 familias
  - Item 4:
        aeronave:   Aliaca VTOL UAS EVO
        coeficiente_similitud:   0.33
        valor_parametro:   50.00
        parametros_validos:   6.00
        familias_cumplidas:   3.00
        diferencias_promedio:   25.00
        razon_aceptacion:   Cumple ≥3 familias
  - Item 5:
        aeronave:   V25
        coeficiente_similitud:   0.27
        valor_parametro:   30.00
        parametros_validos:   7.00
        familias_cumplidas:   3.00
        diferencias_promedio:   25.43
        razon_aceptacion:   Cumple ≥3 familias
  - Item 6:
        aeronave:   V21
        coeficiente_similitud:   0.24
        valor_parametro:   30.00
        parametros_validos:   7.00
        familias_cumplidas:   3.00
        diferencias_promedio:   30.06
        razon_aceptacion:   Cumple ≥3 familias
sim_vals: [0.65, 0.49, 0.39, 0.33, 0.27, 0.24]
vecinos_predictores:
    Peso máximo al despegue (MTOW): [9.50, 16.00, 17.00, 27.00, 12.50, 10.00]
    Peso Vacio (MTOW - payload): [nan, 14.50, 14.00, 25.00, 10.30, 8.50]
    Payload: [nan, 2.00, 3.00, 2.00, 2.20, 1.50]
    Área del ala: [nan, nan, nan, nan, 0.52, 0.80]
    Envergadura: [2.80, 3.60, nan, 3.50, 2.45, 2.15]
    Longitud del fuselaje: [1.50, 2.10, 2.06, 2.20, 0.93, 0.93]
    Autonomía de la aeronave (h): [3.00, 3.00, 3.00, 3.00, 4.00, 3.00]
    Alcance de la aeronave (km): [216.00, 194.40, 182.95, nan, 288.00, 194.40]
    Velocidad a la que se realiza el crucero (m/s TAS): [21.55, 19.39, 18.25, nan, 21.55, 19.39]
    Velocidad máxima (m/s IAS): [nan, 28.00, nan, nan, 33.00, 33.00]
Iteración imputación:   1.00
=== CORRELATION DETAILS ===
Aeronave:   Autel Dragonfish Pro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C68" authorId="1" shapeId="0">
      <text>
        <t xml:space="preserve">=== CÁLCULO APLICADO ===
formula:   Altitud asumida = 5000 pies
inputs:
</t>
      </text>
    </comment>
    <comment ref="D68" authorId="1" shapeId="0">
      <text>
        <t xml:space="preserve">=== CÁLCULO APLICADO ===
formula:   TAS_5000 = IAS / sqrt(σ_5000)
inputs:
    IAS:   18.10
    σ_5000:   0.86
</t>
      </text>
    </comment>
    <comment ref="I68" authorId="1" shapeId="0">
      <text>
        <t xml:space="preserve">
=== CORRELATION DETAILS ===
Aeronave:   Atmos Marlyn Cobalt (VTOL ala fija)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M68" authorId="1" shapeId="0">
      <text>
        <t xml:space="preserve">=== CÁLCULO APLICADO ===
formula:   R[km] = h*3600*V/1000
inputs:
    Autonomía[h]:   0.83
    Velocidad[m/s]:   18.10
</t>
      </text>
    </comment>
    <comment ref="AA68" authorId="1" shapeId="0">
      <text>
        <t xml:space="preserve">=== CÁLCULO APLICADO ===
formula:   W0 = MTOW - Payload
inputs:
    MTOW:   6.40
    Payload:   15.30
</t>
      </text>
    </comment>
    <comment ref="C69" authorId="1" shapeId="0">
      <text>
        <t xml:space="preserve">=== CÁLCULO APLICADO ===
formula:   Altitud asumida = 5000 pies
inputs:
</t>
      </text>
    </comment>
    <comment ref="D69" authorId="1" shapeId="0">
      <text>
        <t xml:space="preserve">=== IMPUTED VALUE ===
Aeronave:   Aliaca VTOL UAS EVO
Parámetro:   Velocidad a la que se realiza el crucero (m/s TAS)
Valor imputado:   22.17
Confianza:   0.19
Método predictivo:   Similitud
Iteración imputación:   1.00
variable_independiente_1:   None
=== SIMILARITY DETAILS ===
Aeronave:   Aliaca VTOL UAS EVO
Parámetro:   Velocidad a la que se realiza el crucero (m/s TAS)
Valor imputado:   22.17
Confianza:   0.19
Vecinos entrenamiento: [Aliaca UAS EVO, JOUAV CW-15, SwoopAero Kite™]
k:   3.00
Penalizacion_k:   0.36
Confianza Similitud:   0.54
Confianza Datos:   0.35
Confianza CV:   0.33
CV:   0.34
Dispersión:   8.31
Advertencia:   confianza_baja
Método predictivo:   Similitud
Familia:   Filtrado directo
coeficientes_similitud: [0.70, 0.48, 0.27]
valores_vecinos: [19.39, 18.25, 36.41]
aeronaves_similares_detalle:
  - Item 1:
        aeronave:   Aliaca UAS EVO
        coeficiente_similitud:   0.70
        valor_parametro:   19.39
        parametros_validos:   7.00
        familias_cumplidas:   3.00
        diferencias_promedio:   12.88
        razon_aceptacion:   Cumple ≥3 familias
  - Item 2:
        aeronave:   JOUAV CW-15
        coeficiente_similitud:   0.48
        valor_parametro:   18.25
        parametros_validos:   6.00
        familias_cumplidas:   3.00
        diferencias_promedio:   22.90
        razon_aceptacion:   Cumple ≥3 familias
  - Item 3:
        aeronave:   SwoopAero Kite™
        coeficiente_similitud:   0.27
        valor_parametro:   36.41
        parametros_validos:   3.00
        familias_cumplidas:   3.00
        diferencias_promedio:   22.99
        razon_aceptacion:   Cumple ≥3 familias
sim_vals: [0.70, 0.48, 0.27]
vecinos_predictores:
    Peso máximo al despegue (MTOW): [16.00, 17.00, 24.90]
    Peso Vacio (MTOW - payload): [14.50, 14.00, nan]
    Payload: [2.00, 3.00, nan]
    Envergadura: [3.60, nan, 2.70]
    Longitud del fuselaje: [2.10, 2.06, nan]
    Autonomía de la aeronave (h): [3.00, 3.00, 1.85]
    Alcance de la aeronave (km): [194.40, 182.95, 225.00]
    Velocidad máxima (m/s IAS): [28.00, nan, 55.50]
    Rango de comunicación: [50.00, 50.00, nan]
Iteración imputación:   1.00
</t>
      </text>
    </comment>
    <comment ref="M69" authorId="1" shapeId="0">
      <text>
        <t xml:space="preserve">=== IMPUTED VALUE ===
Aeronave:   Aliaca VTOL UAS EVO
Parámetro:   Alcance de la aeronave (km)
Valor imputado:   196.29
Confianza:   0.27
Método predictivo:   Similitud
Iteración imputación:   1.00
variable_independiente_1:   None
=== SIMILARITY DETAILS ===
Aeronave:   Aliaca VTOL UAS EVO
Parámetro:   Alcance de la aeronave (km)
Valor imputado:   196.29
Confianza:   0.27
Vecinos entrenamiento: [Aliaca UAS EVO, JOUAV CW-15, SwoopAero Kite™]
k:   3.00
Penalizacion_k:   0.36
Confianza Similitud:   0.54
Confianza Datos:   0.50
Confianza CV:   0.82
CV:   0.09
Dispersión:   17.75
Advertencia:   confianza_baja
Método predictivo:   Similitud
Familia:   Filtrado directo
coeficientes_similitud: [0.70, 0.48, 0.27]
valores_vecinos: [194.40, 182.95, 225.00]
aeronaves_similares_detalle:
  - Item 1:
        aeronave:   Aliaca UAS EVO
        coeficiente_similitud:   0.70
        valor_parametro:   194.40
        parametros_validos:   7.00
        familias_cumplidas:   3.00
        diferencias_promedio:   12.88
        razon_aceptacion:   Cumple ≥3 familias
  - Item 2:
        aeronave:   JOUAV CW-15
        coeficiente_similitud:   0.48
        valor_parametro:   182.95
        parametros_validos:   6.00
        familias_cumplidas:   3.00
        diferencias_promedio:   22.90
        razon_aceptacion:   Cumple ≥3 familias
  - Item 3:
        aeronave:   SwoopAero Kite™
        coeficiente_similitud:   0.27
        valor_parametro:   225.00
        parametros_validos:   3.00
        familias_cumplidas:   3.00
        diferencias_promedio:   22.99
        razon_aceptacion:   Cumple ≥3 familias
sim_vals: [0.70, 0.48, 0.27]
vecinos_predictores:
    Peso máximo al despegue (MTOW): [16.00, 17.00, 24.90]
    Peso Vacio (MTOW - payload): [14.50, 14.00, nan]
    Payload: [2.00, 3.00, nan]
    Envergadura: [3.60, nan, 2.70]
    Longitud del fuselaje: [2.10, 2.06, nan]
    Autonomía de la aeronave (h): [3.00, 3.00, 1.85]
    Velocidad a la que se realiza el crucero (m/s TAS): [19.39, 18.25, 36.41]
    Velocidad máxima (m/s IAS): [28.00, nan, 55.50]
    Rango de comunicación: [50.00, 50.00, nan]
Iteración imputación:   1.00
</t>
      </text>
    </comment>
    <comment ref="O69" authorId="1" shapeId="0">
      <text>
        <t xml:space="preserve">=== IMPUTED VALUE ===
Aeronave:   Aliaca VTOL UAS EVO
Parámetro:   Velocidad máxima (m/s IAS)
Valor imputado:   34.12
Confianza:   0.18
Método predictivo:   Similitud
Iteración imputación:   1.00
variable_independiente_1:   None
=== SIMILARITY DETAILS ===
Aeronave:   Aliaca VTOL UAS EVO
Parámetro:   Velocidad máxima (m/s IAS)
Valor imputado:   34.12
Confianza:   0.18
Vecinos entrenamiento: [Aliaca UAS EVO, Autel Dragonfish Pro, SwoopAero Kite™]
k:   3.00
Penalizacion_k:   0.36
Confianza Similitud:   0.52
Confianza Datos:   0.35
Confianza CV:   0.34
CV:   0.33
Dispersión:   12.52
Advertencia:   confianza_baja
Método predictivo:   Similitud
Familia:   Filtrado directo
coeficientes_similitud: [0.70, 0.35, 0.27]
valores_vecinos: [28.00, 30.00, 55.50]
aeronaves_similares_detalle:
  - Item 1:
        aeronave:   Aliaca UAS EVO
        coeficiente_similitud:   0.70
        valor_parametro:   28.00
        parametros_validos:   7.00
        familias_cumplidas:   3.00
        diferencias_promedio:   12.88
        razon_aceptacion:   Cumple ≥3 familias
  - Item 2:
        aeronave:   Autel Dragonfish Pro
        coeficiente_similitud:   0.35
        valor_parametro:   30.00
        parametros_validos:   6.00
        familias_cumplidas:   3.00
        diferencias_promedio:   18.64
        razon_aceptacion:   Cumple ≥3 familias
  - Item 3:
        aeronave:   SwoopAero Kite™
        coeficiente_similitud:   0.27
        valor_parametro:   55.50
        parametros_validos:   3.00
        familias_cumplidas:   3.00
        diferencias_promedio:   22.99
        razon_aceptacion:   Cumple ≥3 familias
sim_vals: [0.70, 0.35, 0.27]
vecinos_predictores:
    Peso máximo al despegue (MTOW): [16.00, 19.00, 24.90]
    Peso Vacio (MTOW - payload): [14.50, 16.80, nan]
    Payload: [2.00, 2.20, nan]
    Envergadura: [3.60, 2.98, 2.70]
    Longitud del fuselaje: [2.10, 1.66, nan]
    Autonomía de la aeronave (h): [3.00, 3.00, 1.85]
    Alcance de la aeronave (km): [194.40, nan, 225.00]
    Velocidad a la que se realiza el crucero (m/s TAS): [19.39, nan, 36.41]
    Rango de comunicación: [50.00, nan, nan]
Iteración imputación:   1.00
</t>
      </text>
    </comment>
    <comment ref="C70" authorId="1" shapeId="0">
      <text>
        <t xml:space="preserve">=== CÁLCULO APLICADO ===
formula:   Altitud asumida = 5000 pies
inputs:
</t>
      </text>
    </comment>
    <comment ref="D70" authorId="1" shapeId="0">
      <text>
        <t xml:space="preserve">=== IMPUTED VALUE ===
Aeronave:   Aliaca VTOL UAS ER
Parámetro:   Velocidad a la que se realiza el crucero (m/s TAS)
Valor imputado:   20.78
Confianza:   0.25
Método predictivo:   Similitud
Iteración imputación:   1.00
variable_independiente_1:   None
=== SIMILARITY DETAILS ===
Aeronave:   Aliaca VTOL UAS ER
Parámetro:   Velocidad a la que se realiza el crucero (m/s TAS)
Valor imputado:   20.78
Confianza:   0.25
Vecinos entrenamiento: [Aliaca UAS ER, JOUAV CW-25H, JOUAV CW-15, Aliaca UAS EVO, Fulmar X, Stalker VXE30 Battery, Stalker VXE30 Fuel Cell]
k:   7.00
Penalizacion_k:   0.92
Confianza Similitud:   0.31
Confianza Datos:   0.82
Confianza CV:   0.59
CV:   0.21
Dispersión:   4.27
Advertencia:   confianza_baja
Método predictivo:   Similitud
Familia:   Filtrado directo
coeficientes_similitud: [0.41, 0.38, 0.31, 0.27, 0.11, 0.08, 0.07]
valores_vecinos: [19.39, 23.92, 18.25, 19.39, 29.95, 17.34, 17.34]
aeronaves_similares_detalle:
  - Item 1:
        aeronave:   Aliaca UAS ER
        coeficiente_similitud:   0.41
        valor_parametro:   19.39
        parametros_validos:   7.00
        familias_cumplidas:   3.00
        diferencias_promedio:   23.25
        razon_aceptacion:   Cumple ≥3 familias
  - Item 2:
        aeronave:   JOUAV CW-25H
        coeficiente_similitud:   0.38
        valor_parametro:   23.92
        parametros_validos:   7.00
        familias_cumplidas:   3.00
        diferencias_promedio:   17.75
        razon_aceptacion:   Cumple ≥3 familias
  - Item 3:
        aeronave:   JOUAV CW-15
        coeficiente_similitud:   0.31
        valor_parametro:   18.25
        parametros_validos:   6.00
        familias_cumplidas:   3.00
        diferencias_promedio:   28.76
        razon_aceptacion:   Cumple ≥3 familias
  - Item 4:
        aeronave:   Aliaca UAS EVO
        coeficiente_similitud:   0.27
        valor_parametro:   19.39
        parametros_validos:   7.00
        familias_cumplidas:   3.00
        diferencias_promedio:   29.79
        razon_aceptacion:   Cumple ≥3 familias
  - Item 5:
        aeronave:   Fulmar X
        coeficiente_similitud:   0.11
        valor_parametro:   29.95
        parametros_validos:   4.00
        familias_cumplidas:   3.00
        diferencias_promedio:   29.75
        razon_aceptacion:   Cumple ≥3 familias
  - Item 6:
        aeronave:   Stalker VXE30 Battery
        coeficiente_similitud:   0.08
        valor_parametro:   17.34
        parametros_validos:   7.00
        familias_cumplidas:   3.00
        diferencias_promedio:   24.46
        razon_aceptacion:   Cumple ≥3 familias
  - Item 7:
        aeronave:   Stalker VXE30 Fuel Cell
        coeficiente_similitud:   0.07
        valor_parametro:   17.34
        parametros_validos:   7.00
        familias_cumplidas:   3.00
        diferencias_promedio:   26.52
        razon_aceptacion:   Cumple ≥3 familias
sim_vals: [0.41, 0.38, 0.31, 0.27, 0.11, 0.08, 0.07]
vecinos_predictores:
    Peso máximo al despegue (MTOW): [16.00, 31.00, 17.00, 16.00, 20.00, 21.80, 19.95]
    Peso Vacio (MTOW - payload): [14.50, 27.00, 14.00, 14.50, nan, 19.28, 17.46]
    Payload: [1.50, 4.00, 3.00, 2.00, nan, 2.49, 2.49]
    Área del ala: [nan, nan, nan, nan, nan, 1.16, 1.16]
    Envergadura: [3.60, 4.40, nan, 3.60, 3.00, 4.88, 4.88]
    Longitud del fuselaje: [2.10, 2.10, 2.06, 2.10, 1.20, 2.59, 2.59]
    Ancho del fuselaje: [nan, nan, nan, nan, nan, 0.20, 0.20]
    Relación de aspecto del ala: [nan, nan, nan, nan, nan, 15.33, 15.33]
    Autonomía de la aeronave (h): [6.00, 5.50, 3.00, 3.00, 8.00, 4.00, 8.00]
    Alcance de la aeronave (km): [388.80, 435.00, 182.95, 194.40, 800.00, 222.00, 433.00]
    Velocidad máxima (m/s IAS): [nan, nan, nan, 28.00, 41.70, 25.03, 25.03]
    Rango de comunicación: [100.00, 100.00, 50.00, 50.00, nan, 100.00, 100.00]
Iteración imputación:   1.00
</t>
      </text>
    </comment>
    <comment ref="M70" authorId="1" shapeId="0">
      <text>
        <t xml:space="preserve">=== IMPUTED VALUE ===
Aeronave:   Aliaca VTOL UAS ER
Parámetro:   Alcance de la aeronave (km)
Valor imputado:   350.57
Confianza:   0.20
Método predictivo:   Similitud
Iteración imputación:   1.00
variable_independiente_1:   None
=== SIMILARITY DETAILS ===
Aeronave:   Aliaca VTOL UAS ER
Parámetro:   Alcance de la aeronave (km)
Valor imputado:   350.57
Confianza:   0.20
Vecinos entrenamiento: [Aliaca UAS ER, JOUAV CW-25H, JOUAV CW-15, Aliaca UAS EVO, Fulmar X, Stalker VXE30 Battery, Stalker VXE30 Fuel Cell]
k:   7.00
Penalizacion_k:   0.92
Confianza Similitud:   0.31
Confianza Datos:   0.64
Confianza CV:   0.00
CV:   0.53
Dispersión:   200.20
Advertencia:   confianza_baja, alta_variabilidad
Método predictivo:   Similitud
Familia:   Filtrado directo
coeficientes_similitud: [0.41, 0.38, 0.31, 0.27, 0.11, 0.08, 0.07]
valores_vecinos: [388.80, 435.00, 182.95, 194.40, 800.00, 222.00, 433.00]
aeronaves_similares_detalle:
  - Item 1:
        aeronave:   Aliaca UAS ER
        coeficiente_similitud:   0.41
        valor_parametro:   388.80
        parametros_validos:   7.00
        familias_cumplidas:   3.00
        diferencias_promedio:   23.25
        razon_aceptacion:   Cumple ≥3 familias
  - Item 2:
        aeronave:   JOUAV CW-25H
        coeficiente_similitud:   0.38
        valor_parametro:   435.00
        parametros_validos:   7.00
        familias_cumplidas:   3.00
        diferencias_promedio:   17.75
        razon_aceptacion:   Cumple ≥3 familias
  - Item 3:
        aeronave:   JOUAV CW-15
        coeficiente_similitud:   0.31
        valor_parametro:   182.95
        parametros_validos:   6.00
        familias_cumplidas:   3.00
        diferencias_promedio:   28.76
        razon_aceptacion:   Cumple ≥3 familias
  - Item 4:
        aeronave:   Aliaca UAS EVO
        coeficiente_similitud:   0.27
        valor_parametro:   194.40
        parametros_validos:   7.00
        familias_cumplidas:   3.00
        diferencias_promedio:   29.79
        razon_aceptacion:   Cumple ≥3 familias
  - Item 5:
        aeronave:   Fulmar X
        coeficiente_similitud:   0.11
        valor_parametro:   800.00
        parametros_validos:   4.00
        familias_cumplidas:   3.00
        diferencias_promedio:   29.75
        razon_aceptacion:   Cumple ≥3 familias
  - Item 6:
        aeronave:   Stalker VXE30 Battery
        coeficiente_similitud:   0.08
        valor_parametro:   222.00
        parametros_validos:   7.00
        familias_cumplidas:   3.00
        diferencias_promedio:   24.46
        razon_aceptacion:   Cumple ≥3 familias
  - Item 7:
        aeronave:   Stalker VXE30 Fuel Cell
        coeficiente_similitud:   0.07
        valor_parametro:   433.00
        parametros_validos:   7.00
        familias_cumplidas:   3.00
        diferencias_promedio:   26.52
        razon_aceptacion:   Cumple ≥3 familias
sim_vals: [0.41, 0.38, 0.31, 0.27, 0.11, 0.08, 0.07]
vecinos_predictores:
    Peso máximo al despegue (MTOW): [16.00, 31.00, 17.00, 16.00, 20.00, 21.80, 19.95]
    Peso Vacio (MTOW - payload): [14.50, 27.00, 14.00, 14.50, nan, 19.28, 17.46]
    Payload: [1.50, 4.00, 3.00, 2.00, nan, 2.49, 2.49]
    Área del ala: [nan, nan, nan, nan, nan, 1.16, 1.16]
    Envergadura: [3.60, 4.40, nan, 3.60, 3.00, 4.88, 4.88]
    Longitud del fuselaje: [2.10, 2.10, 2.06, 2.10, 1.20, 2.59, 2.59]
    Ancho del fuselaje: [nan, nan, nan, nan, nan, 0.20, 0.20]
    Relación de aspecto del ala: [nan, nan, nan, nan, nan, 15.33, 15.33]
    Autonomía de la aeronave (h): [6.00, 5.50, 3.00, 3.00, 8.00, 4.00, 8.00]
    Velocidad a la que se realiza el crucero (m/s TAS): [19.39, 23.92, 18.25, 19.39, 29.95, 17.34, 17.34]
    Velocidad máxima (m/s IAS): [nan, nan, nan, 28.00, 41.70, 25.03, 25.03]
    Rango de comunicación: [100.00, 100.00, 50.00, 50.00, nan, 100.00, 100.00]
Iteración imputación:   1.00
</t>
      </text>
    </comment>
    <comment ref="O70" authorId="1" shapeId="0">
      <text>
        <t xml:space="preserve">=== IMPUTED VALUE ===
Aeronave:   Aliaca VTOL UAS ER
Parámetro:   Velocidad máxima (m/s IAS)
Valor imputado:   30.11
Confianza:   0.11
Método predictivo:   Similitud
Iteración imputación:   1.00
variable_independiente_1:   None
=== SIMILARITY DETAILS ===
Aeronave:   Aliaca VTOL UAS ER
Parámetro:   Velocidad máxima (m/s IAS)
Valor imputado:   30.11
Confianza:   0.11
Vecinos entrenamiento: [Aliaca UAS EVO, Fulmar X, Stalker VXE30 Battery, Autel Dragonfish Pro, Stalker VXE30 Fuel Cell]
k:   5.00
Penalizacion_k:   0.69
Confianza Similitud:   0.17
Confianza Datos:   0.66
Confianza CV:   0.59
CV:   0.21
Dispersión:   6.17
Advertencia:   confianza_baja
Método predictivo:   Similitud
Familia:   Filtrado directo
coeficientes_similitud: [0.27, 0.11, 0.08, 0.07, 0.07]
valores_vecinos: [28.00, 41.70, 25.03, 30.00, 25.03]
aeronaves_similares_detalle:
  - Item 1:
        aeronave:   Aliaca UAS EVO
        coeficiente_similitud:   0.27
        valor_parametro:   28.00
        parametros_validos:   7.00
        familias_cumplidas:   3.00
        diferencias_promedio:   29.79
        razon_aceptacion:   Cumple ≥3 familias
  - Item 2:
        aeronave:   Fulmar X
        coeficiente_similitud:   0.11
        valor_parametro:   41.70
        parametros_validos:   4.00
        familias_cumplidas:   3.00
        diferencias_promedio:   29.75
        razon_aceptacion:   Cumple ≥3 familias
  - Item 3:
        aeronave:   Stalker VXE30 Battery
        coeficiente_similitud:   0.08
        valor_parametro:   25.03
        parametros_validos:   7.00
        familias_cumplidas:   3.00
        diferencias_promedio:   24.46
        razon_aceptacion:   Cumple ≥3 familias
  - Item 4:
        aeronave:   Autel Dragonfish Pro
        coeficiente_similitud:   0.07
        valor_parametro:   30.00
        parametros_validos:   6.00
        familias_cumplidas:   3.00
        diferencias_promedio:   29.28
        razon_aceptacion:   Cumple ≥3 familias
  - Item 5:
        aeronave:   Stalker VXE30 Fuel Cell
        coeficiente_similitud:   0.07
        valor_parametro:   25.03
        parametros_validos:   7.00
        familias_cumplidas:   3.00
        diferencias_promedio:   26.52
        razon_aceptacion:   Cumple ≥3 familias
sim_vals: [0.27, 0.11, 0.08, 0.07, 0.07]
vecinos_predictores:
    Peso máximo al despegue (MTOW): [16.00, 20.00, 21.80, 19.00, 19.95]
    Peso Vacio (MTOW - payload): [14.50, nan, 19.28, 16.80, 17.46]
    Payload: [2.00, nan, 2.49, 2.20, 2.49]
    Área del ala: [nan, nan, 1.16, nan, 1.16]
    Envergadura: [3.60, 3.00, 4.88, 2.98, 4.88]
    Longitud del fuselaje: [2.10, 1.20, 2.59, 1.66, 2.59]
    Ancho del fuselaje: [nan, nan, 0.20, nan, 0.20]
    Relación de aspecto del ala: [nan, nan, 15.33, nan, 15.33]
    Autonomía de la aeronave (h): [3.00, 8.00, 4.00, 3.00, 8.00]
    Alcance de la aeronave (km): [194.40, 800.00, 222.00, nan, 433.00]
    Velocidad a la que se realiza el crucero (m/s TAS): [19.39, 29.95, 17.34, nan, 17.34]
    Rango de comunicación: [50.00, nan, 100.00, nan, 100.00]
Iteración imputación:   1.00
</t>
      </text>
    </comment>
    <comment ref="C71" authorId="1" shapeId="0">
      <text>
        <t xml:space="preserve">=== CÁLCULO APLICADO ===
formula:   Altitud asumida = 5000 pies
inputs:
</t>
      </text>
    </comment>
    <comment ref="D71" authorId="1" shapeId="0">
      <text>
        <t xml:space="preserve">=== CÁLCULO APLICADO ===
formula:   TAS_5000 = IAS / sqrt(σ_5000)
inputs:
    IAS:   18.00
    σ_5000:   0.86
</t>
      </text>
    </comment>
    <comment ref="M71" authorId="1" shapeId="0">
      <text>
        <t xml:space="preserve">=== CÁLCULO APLICADO ===
formula:   R[km] = h*3600*V/1000
inputs:
    Autonomía[h]:   3.00
    Velocidad[m/s]:   18.00
</t>
      </text>
    </comment>
    <comment ref="C72" authorId="1" shapeId="0">
      <text>
        <t xml:space="preserve">=== CÁLCULO APLICADO ===
formula:   Altitud asumida = 5000 pies
inputs:
</t>
      </text>
    </comment>
    <comment ref="D72" authorId="1" shapeId="0">
      <text>
        <t xml:space="preserve">=== CÁLCULO APLICADO ===
formula:   TAS_5000 = IAS / sqrt(σ_5000)
inputs:
    IAS:   18.00
    σ_5000:   0.86
</t>
      </text>
    </comment>
    <comment ref="M72" authorId="1" shapeId="0">
      <text>
        <t xml:space="preserve">=== CÁLCULO APLICADO ===
formula:   R[km] = h*3600*V/1000
inputs:
    Autonomía[h]:   6.00
    Velocidad[m/s]:   18.00
</t>
      </text>
    </comment>
    <comment ref="C73" authorId="1" shapeId="0">
      <text>
        <t xml:space="preserve">=== CÁLCULO APLICADO ===
formula:   Altitud asumida = 5000 pies
inputs:
</t>
      </text>
    </comment>
    <comment ref="D73" authorId="1" shapeId="0">
      <text>
        <t xml:space="preserve">=== CÁLCULO APLICADO ===
formula:   TAS_5000 = IAS / sqrt(σ_5000)
inputs:
    IAS:   13.10
    σ_5000:   0.86
</t>
      </text>
    </comment>
    <comment ref="M73" authorId="1" shapeId="0">
      <text>
        <t xml:space="preserve">=== CÁLCULO APLICADO ===
formula:   R[km] = h*3600*V/1000
inputs:
    Autonomía[h]:   13.00
    Velocidad[m/s]:   13.10
</t>
      </text>
    </comment>
    <comment ref="AA73" authorId="1" shapeId="0">
      <text>
        <t xml:space="preserve">=== CÁLCULO APLICADO ===
formula:   W0 = MTOW - Payload
inputs:
    MTOW:   73.00
    Payload:   11.30
</t>
      </text>
    </comment>
    <comment ref="C74" authorId="1" shapeId="0">
      <text>
        <t xml:space="preserve">=== CÁLCULO APLICADO ===
formula:   Altitud asumida = 5000 pies
inputs:
</t>
      </text>
    </comment>
    <comment ref="D74" authorId="1" shapeId="0">
      <text>
        <t xml:space="preserve">=== CÁLCULO APLICADO ===
formula:   TAS_5000 = IAS / sqrt(σ_5000)
inputs:
    IAS:   25.80
    σ_5000:   0.86
</t>
      </text>
    </comment>
    <comment ref="M74" authorId="1" shapeId="0">
      <text>
        <t xml:space="preserve">=== CÁLCULO APLICADO ===
formula:   R[km] = h*3600*V/1000
inputs:
    Autonomía[h]:   13.00
    Velocidad[m/s]:   25.80
</t>
      </text>
    </comment>
    <comment ref="O74" authorId="1" shapeId="0">
      <text>
        <t xml:space="preserve">=== IMPUTED VALUE ===
Aeronave:   AeroVironment JUMP 20
Parámetro:   Velocidad máxima (m/s IAS)
Valor imputado:   34.59
Confianza:   0.18
Método predictivo:   Similitud
Iteración imputación:   1.00
variable_independiente_1:   None
=== SIMILARITY DETAILS ===
Aeronave:   AeroVironment JUMP 20
Parámetro:   Velocidad máxima (m/s IAS)
Valor imputado:   34.59
Confianza:   0.18
Vecinos entrenamiento: [Skyeye 5000 VTOL octo, Shield AI V-BAT 128, L3Harris FVR–90, RQ Nan 21A Blackjack]
k:   4.00
Penalizacion_k:   0.53
Confianza Similitud:   0.34
Confianza Datos:   0.54
Confianza CV:   0.57
CV:   0.22
Dispersión:   7.70
Advertencia:   confianza_baja
Método predictivo:   Similitud
Familia:   Filtrado directo
coeficientes_similitud: [0.48, 0.27, 0.15, 0.09]
valores_vecinos: [38.00, 25.00, 33.40, 46.30]
aeronaves_similares_detalle:
  - Item 1:
        aeronave:   Skyeye 5000 VTOL octo
        coeficiente_similitud:   0.48
        valor_parametro:   38.00
        parametros_validos:   6.00
        familias_cumplidas:   3.00
        diferencias_promedio:   14.53
        razon_aceptacion:   Cumple ≥3 familias
  - Item 2:
        aeronave:   Shield AI V-BAT 128
        coeficiente_similitud:   0.27
        valor_parametro:   25.00
        parametros_validos:   9.00
        familias_cumplidas:   3.00
        diferencias_promedio:   27.56
        razon_aceptacion:   Cumple ≥3 familias
  - Item 3:
        aeronave:   L3Harris FVR–90
        coeficiente_similitud:   0.15
        valor_parametro:   33.40
        parametros_validos:   8.00
        familias_cumplidas:   3.00
        diferencias_promedio:   28.24
        razon_aceptacion:   Cumple ≥3 familias
  - Item 4:
        aeronave:   RQ Nan 21A Blackjack
        coeficiente_similitud:   0.09
        valor_parametro:   46.30
        parametros_validos:   9.00
        familias_cumplidas:   3.00
        diferencias_promedio:   32.46
        razon_aceptacion:   Cumple ≥3 familias
sim_vals: [0.48, 0.27, 0.15, 0.09]
vecinos_predictores:
    Peso máximo al despegue (MTOW): [100.00, 73.00, 54.40, 61.00]
    Peso Vacio (MTOW - payload): [85.00, 61.70, 44.40, 43.30]
    Payload: [15.00, 11.30, 10.00, 17.70]
    Área del ala: [2.62, nan, nan, nan]
    Envergadura: [5.00, 2.90, 4.70, 4.80]
    Longitud del fuselaje: [3.50, 2.74, nan, 2.50]
    Ancho del fuselaje: [0.38, nan, nan, nan]
    Autonomía de la aeronave (h): [nan, 13.00, 16.00, 16.00]
    Alcance de la aeronave (km): [nan, 613.08, 1500.00, 1779.84]
    Velocidad a la que se realiza el crucero (m/s TAS): [37.70, 14.11, 27.69, 33.29]
    Rango de comunicación: [nan, 130.00, 100.00, 92.60]
    Potencia HP: [nan, 23.00, nan, 8.00]
Iteración imputación:   1.00
</t>
      </text>
    </comment>
    <comment ref="AA74" authorId="1" shapeId="0">
      <text>
        <t xml:space="preserve">=== CÁLCULO APLICADO ===
formula:   W0 = MTOW - Payload
inputs:
    MTOW:   97.50
    Payload:   13.00
</t>
      </text>
    </comment>
    <comment ref="C75" authorId="1" shapeId="0">
      <text>
        <t xml:space="preserve">=== CÁLCULO APLICADO ===
formula:   Altitud asumida = 5000 pies
inputs:
</t>
      </text>
    </comment>
    <comment ref="D75" authorId="1" shapeId="0">
      <text>
        <t xml:space="preserve">=== CÁLCULO APLICADO ===
formula:   TAS_5000 = IAS / sqrt(σ_5000)
inputs:
    IAS:   25.80
    σ_5000:   0.86
</t>
      </text>
    </comment>
    <comment ref="G75" authorId="1" shapeId="0">
      <text>
        <t xml:space="preserve">=== IMPUTED VALUE ===
Aeronave:   AeroVironment JUMP 20-X
Parámetro:   Área del ala
Valor imputado:   2.24
Confianza:   0.18
Método predictivo:   Similitud
Iteración imputación:   1.00
variable_independiente_1:   None
=== SIMILARITY DETAILS ===
Aeronave:   AeroVironment JUMP 20-X
Parámetro:   Área del ala
Valor imputado:   2.24
Confianza:   0.18
Vecinos entrenamiento: [Skyeye 5000 VTOL octo, Aerosonde Mk. 4.7 VTOL, Skyeye 5000]
k:   3.00
Penalizacion_k:   0.36
Confianza Similitud:   0.43
Confianza Datos:   0.42
Confianza CV:   0.56
CV:   0.22
Dispersión:   0.50
Advertencia:   confianza_baja
Método predictivo:   Similitud
Familia:   Filtrado directo
coeficientes_similitud: [0.53, 0.40, 0.21]
valores_vecinos: [2.62, 1.55, 2.62]
aeronaves_similares_detalle:
  - Item 1:
        aeronave:   Skyeye 5000 VTOL octo
        coeficiente_similitud:   0.53
        valor_parametro:   2.62
        parametros_validos:   6.00
        familias_cumplidas:   3.00
        diferencias_promedio:   13.80
        razon_aceptacion:   Cumple ≥3 familias
  - Item 2:
        aeronave:   Aerosonde Mk. 4.7 VTOL
        coeficiente_similitud:   0.40
        valor_parametro:   1.55
        parametros_validos:   9.00
        familias_cumplidas:   3.00
        diferencias_promedio:   20.41
        razon_aceptacion:   Cumple ≥3 familias
  - Item 3:
        aeronave:   Skyeye 5000
        coeficiente_similitud:   0.21
        valor_parametro:   2.62
        parametros_validos:   8.00
        familias_cumplidas:   3.00
        diferencias_promedio:   24.00
        razon_aceptacion:   Cumple ≥3 familias
sim_vals: [0.53, 0.40, 0.21]
vecinos_predictores:
    Peso máximo al despegue (MTOW): [100.00, 53.50, 90.00]
    Peso Vacio (MTOW - payload): [85.00, 42.20, 70.00]
    Payload: [15.00, 11.30, 20.00]
    Envergadura: [5.00, 4.40, 5.00]
    Longitud del fuselaje: [3.50, 3.00, 3.50]
    Ancho del fuselaje: [0.38, 0.28, 0.38]
    Relación de aspecto del ala: [nan, 12.50, nan]
    Autonomía de la aeronave (h): [nan, 12.00, 8.00]
    Alcance de la aeronave (km): [nan, 1080.00, 950.40]
    Velocidad a la que se realiza el crucero (m/s TAS): [37.70, 26.93, 35.55]
    Velocidad máxima (m/s IAS): [38.00, 33.44, 42.00]
    Rango de comunicación: [nan, 140.00, nan]
    Potencia HP: [nan, 4.00, nan]
    Potencia Watts: [nan, 2980.00, nan]
Iteración imputación:   1.00
</t>
      </text>
    </comment>
    <comment ref="K75" authorId="1" shapeId="0">
      <text>
        <t xml:space="preserve">=== IMPUTED VALUE ===
Aeronave:   AeroVironment JUMP 20-X
Parámetro:   Ancho del fuselaje
Valor imputado:   0.34
Confianza:   0.20
Método predictivo:   Similitud
Iteración imputación:   1.00
variable_independiente_1:   None
=== SIMILARITY DETAILS ===
Aeronave:   AeroVironment JUMP 20-X
Parámetro:   Ancho del fuselaje
Valor imputado:   0.34
Confianza:   0.20
Vecinos entrenamiento: [Skyeye 5000 VTOL octo, Aerosonde Mk. 4.7 VTOL, Skyeye 5000]
k:   3.00
Penalizacion_k:   0.36
Confianza Similitud:   0.43
Confianza Datos:   0.47
Confianza CV:   0.73
CV:   0.13
Dispersión:   0.05
Advertencia:   confianza_baja
Método predictivo:   Similitud
Familia:   Filtrado directo
coeficientes_similitud: [0.53, 0.40, 0.21]
valores_vecinos: [0.38, 0.28, 0.38]
aeronaves_similares_detalle:
  - Item 1:
        aeronave:   Skyeye 5000 VTOL octo
        coeficiente_similitud:   0.53
        valor_parametro:   0.38
        parametros_validos:   6.00
        familias_cumplidas:   3.00
        diferencias_promedio:   13.80
        razon_aceptacion:   Cumple ≥3 familias
  - Item 2:
        aeronave:   Aerosonde Mk. 4.7 VTOL
        coeficiente_similitud:   0.40
        valor_parametro:   0.28
        parametros_validos:   9.00
        familias_cumplidas:   3.00
        diferencias_promedio:   20.41
        razon_aceptacion:   Cumple ≥3 familias
  - Item 3:
        aeronave:   Skyeye 5000
        coeficiente_similitud:   0.21
        valor_parametro:   0.38
        parametros_validos:   8.00
        familias_cumplidas:   3.00
        diferencias_promedio:   24.00
        razon_aceptacion:   Cumple ≥3 familias
sim_vals: [0.53, 0.40, 0.21]
vecinos_predictores:
    Peso máximo al despegue (MTOW): [100.00, 53.50, 90.00]
    Peso Vacio (MTOW - payload): [85.00, 42.20, 70.00]
    Payload: [15.00, 11.30, 20.00]
    Área del ala: [2.62, 1.55, 2.62]
    Envergadura: [5.00, 4.40, 5.00]
    Longitud del fuselaje: [3.50, 3.00, 3.50]
    Relación de aspecto del ala: [nan, 12.50, nan]
    Autonomía de la aeronave (h): [nan, 12.00, 8.00]
    Alcance de la aeronave (km): [nan, 1080.00, 950.40]
    Velocidad a la que se realiza el crucero (m/s TAS): [37.70, 26.93, 35.55]
    Velocidad máxima (m/s IAS): [38.00, 33.44, 42.00]
    Rango de comunicación: [nan, 140.00, nan]
    Potencia HP: [nan, 4.00, nan]
    Potencia Watts: [nan, 2980.00, nan]
Iteración imputación:   1.00
</t>
      </text>
    </comment>
    <comment ref="M75" authorId="1" shapeId="0">
      <text>
        <t xml:space="preserve">=== CÁLCULO APLICADO ===
formula:   R[km] = h*3600*V/1000
inputs:
    Autonomía[h]:   13.00
    Velocidad[m/s]:   25.80
</t>
      </text>
    </comment>
    <comment ref="O75" authorId="1" shapeId="0">
      <text>
        <t xml:space="preserve">=== IMPUTED VALUE ===
Aeronave:   AeroVironment JUMP 20-X
Parámetro:   Velocidad máxima (m/s IAS)
Valor imputado:   35.53
Confianza:   0.27
Método predictivo:   Similitud
Iteración imputación:   1.00
variable_independiente_1:   None
=== SIMILARITY DETAILS ===
Aeronave:   AeroVironment JUMP 20-X
Parámetro:   Velocidad máxima (m/s IAS)
Valor imputado:   35.53
Confianza:   0.27
Vecinos entrenamiento: [Skyeye 5000 VTOL octo, Aerosonde Mk. 4.7 VTOL, Shield AI V-BAT 128, Skyeye 5000, L3Harris FVR–90, RQ Nan 21A Blackjack]
k:   6.00
Penalizacion_k:   0.83
Confianza Similitud:   0.36
Confianza Datos:   0.77
Confianza CV:   0.62
CV:   0.19
Dispersión:   6.83
Advertencia:   confianza_baja
Método predictivo:   Similitud
Familia:   Filtrado directo
coeficientes_similitud: [0.53, 0.40, 0.24, 0.21, 0.15, 0.09]
valores_vecinos: [38.00, 33.44, 25.00, 42.00, 33.40, 46.30]
aeronaves_similares_detalle:
  - Item 1:
        aeronave:   Skyeye 5000 VTOL octo
        coeficiente_similitud:   0.53
        valor_parametro:   38.00
        parametros_validos:   6.00
        familias_cumplidas:   3.00
        diferencias_promedio:   13.80
        razon_aceptacion:   Cumple ≥3 familias
  - Item 2:
        aeronave:   Aerosonde Mk. 4.7 VTOL
        coeficiente_similitud:   0.40
        valor_parametro:   33.44
        parametros_validos:   9.00
        familias_cumplidas:   3.00
        diferencias_promedio:   20.41
        razon_aceptacion:   Cumple ≥3 familias
  - Item 3:
        aeronave:   Shield AI V-BAT 128
        coeficiente_similitud:   0.24
        valor_parametro:   25.00
        parametros_validos:   9.00
        familias_cumplidas:   3.00
        diferencias_promedio:   27.92
        razon_aceptacion:   Cumple ≥3 familias
  - Item 4:
        aeronave:   Skyeye 5000
        coeficiente_similitud:   0.21
        valor_parametro:   42.00
        parametros_validos:   8.00
        familias_cumplidas:   3.00
        diferencias_promedio:   24.00
        razon_aceptacion:   Cumple ≥3 familias
  - Item 5:
        aeronave:   L3Harris FVR–90
        coeficiente_similitud:   0.15
        valor_parametro:   33.40
        parametros_validos:   8.00
        familias_cumplidas:   3.00
        diferencias_promedio:   28.61
        razon_aceptacion:   Cumple ≥3 familias
  - Item 6:
        aeronave:   RQ Nan 21A Blackjack
        coeficiente_similitud:   0.09
        valor_parametro:   46.30
        parametros_validos:   9.00
        familias_cumplidas:   3.00
        diferencias_promedio:   31.75
        razon_aceptacion:   Cumple ≥3 familias
sim_vals: [0.53, 0.40, 0.24, 0.21, 0.15, 0.09]
vecinos_predictores:
    Peso máximo al despegue (MTOW): [100.00, 53.50, 73.00, 90.00, 54.40, 61.00]
    Peso Vacio (MTOW - payload): [85.00, 42.20, 61.70, 70.00, 44.40, 43.30]
    Payload: [15.00, 11.30, 11.30, 20.00, 10.00, 17.70]
    Área del ala: [2.62, 1.55, nan, 2.62, nan, nan]
    Envergadura: [5.00, 4.40, 2.90, 5.00, 4.70, 4.80]
    Longitud del fuselaje: [3.50, 3.00, 2.74, 3.50, nan, 2.50]
    Ancho del fuselaje: [0.38, 0.28, nan, 0.38, nan, nan]
    Relación de aspecto del ala: [nan, 12.50, nan, nan, nan, nan]
    Autonomía de la aeronave (h): [nan, 12.00, 13.00, 8.00, 16.00, 16.00]
    Alcance de la aeronave (km): [nan, 1080.00, 613.08, 950.40, 1500.00, 1779.84]
    Velocidad a la que se realiza el crucero (m/s TAS): [37.70, 26.93, 14.11, 35.55, 27.69, 33.29]
    Rango de comunicación: [nan, 140.00, 130.00, nan, 100.00, 92.60]
    Potencia HP: [nan, 4.00, 23.00, nan, nan, 8.00]
    Potencia Watts: [nan, 2980.00, nan, nan, nan, nan]
Iteración imputación:   1.00
</t>
      </text>
    </comment>
    <comment ref="AA75" authorId="1" shapeId="0">
      <text>
        <t xml:space="preserve">=== CÁLCULO APLICADO ===
formula:   W0 = MTOW - Payload
inputs:
    MTOW:   97.50
    Payload:   13.60
</t>
      </text>
    </comment>
    <comment ref="AJ75" authorId="1" shapeId="0">
      <text>
        <t xml:space="preserve">=== IMPUTED VALUE ===
Aeronave:   AeroVironment JUMP 20-X
Parámetro:   Potencia HP
Valor imputado:   10.67
Confianza:   0.08
Método predictivo:   Similitud
Iteración imputación:   1.00
variable_independiente_1:   None
=== SIMILARITY DETAILS ===
Aeronave:   AeroVironment JUMP 20-X
Parámetro:   Potencia HP
Valor imputado:   10.67
Confianza:   0.08
Vecinos entrenamiento: [Aerosonde Mk. 4.7 VTOL, Shield AI V-BAT 128, RQ Nan 21A Blackjack]
k:   3.00
Penalizacion_k:   0.36
Confianza Similitud:   0.31
Confianza Datos:   0.25
Confianza CV:   0.00
CV:   0.70
Dispersión:   8.18
Advertencia:   confianza_baja, alta_variabilidad
Método predictivo:   Similitud
Familia:   Filtrado directo
coeficientes_similitud: [0.40, 0.24, 0.09]
valores_vecinos: [4.00, 23.00, 8.00]
aeronaves_similares_detalle:
  - Item 1:
        aeronave:   Aerosonde Mk. 4.7 VTOL
        coeficiente_similitud:   0.40
        valor_parametro:   4.00
        parametros_validos:   9.00
        familias_cumplidas:   3.00
        diferencias_promedio:   20.41
        razon_aceptacion:   Cumple ≥3 familias
  - Item 2:
        aeronave:   Shield AI V-BAT 128
        coeficiente_similitud:   0.24
        valor_parametro:   23.00
        parametros_validos:   9.00
        familias_cumplidas:   3.00
        diferencias_promedio:   27.92
        razon_aceptacion:   Cumple ≥3 familias
  - Item 3:
        aeronave:   RQ Nan 21A Blackjack
        coeficiente_similitud:   0.09
        valor_parametro:   8.00
        parametros_validos:   9.00
        familias_cumplidas:   3.00
        diferencias_promedio:   31.75
        razon_aceptacion:   Cumple ≥3 familias
sim_vals: [0.40, 0.24, 0.09]
vecinos_predictores:
    Peso máximo al despegue (MTOW): [53.50, 73.00, 61.00]
    Peso Vacio (MTOW - payload): [42.20, 61.70, 43.30]
    Payload: [11.30, 11.30, 17.70]
    Área del ala: [1.55, nan, nan]
    Envergadura: [4.40, 2.90, 4.80]
    Longitud del fuselaje: [3.00, 2.74, 2.50]
    Ancho del fuselaje: [0.28, nan, nan]
    Relación de aspecto del ala: [12.50, nan, nan]
    Autonomía de la aeronave (h): [12.00, 13.00, 16.00]
    Alcance de la aeronave (km): [1080.00, 613.08, 1779.84]
    Velocidad a la que se realiza el crucero (m/s TAS): [26.93, 14.11, 33.29]
    Velocidad máxima (m/s IAS): [33.44, 25.00, 46.30]
    Rango de comunicación: [140.00, 130.00, 92.60]
    Potencia Watts: [2980.00, nan, nan]
Iteración imputación:   1.00
</t>
      </text>
    </comment>
    <comment ref="C76" authorId="1" shapeId="0">
      <text>
        <t xml:space="preserve">=== CÁLCULO APLICADO ===
formula:   Altitud asumida = 5000 pies
inputs:
</t>
      </text>
    </comment>
    <comment ref="D76" authorId="1" shapeId="0">
      <text>
        <t xml:space="preserve">=== CÁLCULO APLICADO ===
formula:   TAS_5000 = IAS / sqrt(σ_5000)
inputs:
    IAS:   30.83
    σ_5000:   0.86
</t>
      </text>
    </comment>
    <comment ref="M76" authorId="1" shapeId="0">
      <text>
        <t xml:space="preserve">=== CÁLCULO APLICADO ===
formula:   R[km] = h*3600*V/1000
inputs:
    Autonomía[h]:   24.00
    Velocidad[m/s]:   30.83
</t>
      </text>
    </comment>
    <comment ref="AA76" authorId="1" shapeId="0">
      <text>
        <t xml:space="preserve">=== CÁLCULO APLICADO ===
formula:   W0 = MTOW - Payload
inputs:
    MTOW:   84.00
    Payload:   15.00
</t>
      </text>
    </comment>
    <comment ref="C77" authorId="1" shapeId="0">
      <text>
        <t xml:space="preserve">=== CÁLCULO APLICADO ===
formula:   Altitud asumida = 5000 pies
inputs:
</t>
      </text>
    </comment>
    <comment ref="D77" authorId="1" shapeId="0">
      <text>
        <t xml:space="preserve">=== IMPUTED VALUE ===
Aeronave:   P550
Parámetro:   Velocidad a la que se realiza el crucero (m/s TAS)
Valor imputado:   26.58
Confianza:   0.22
Método predictivo:   Similitud
Iteración imputación:   1.00
variable_independiente_1:   None
=== SIMILARITY DETAILS ===
Aeronave:   P550
Parámetro:   Velocidad a la que se realiza el crucero (m/s TAS)
Valor imputado:   26.58
Confianza:   0.22
Vecinos entrenamiento: [V39, Skyeye 2930 VTOL, V35, YANGDA Sky Whale Mini Electric Long Endurance VTOL Drone]
k:   4.00
Penalizacion_k:   0.53
Confianza Similitud:   0.35
Confianza Datos:   0.64
Confianza CV:   0.89
CV:   0.05
Dispersión:   1.48
Advertencia:   confianza_baja
Método predictivo:   Similitud
Familia:   Filtrado directo
coeficientes_similitud: [0.42, 0.20, 0.00, 0.00]
valores_vecinos: [26.93, 25.85, 26.93, 29.84]
aeronaves_similares_detalle:
  - Item 1:
        aeronave:   V39
        coeficiente_similitud:   0.42
        valor_parametro:   26.93
        parametros_validos:   6.00
        familias_cumplidas:   3.00
        diferencias_promedio:   19.98
        razon_aceptacion:   Cumple ≥3 familias
  - Item 2:
        aeronave:   Skyeye 2930 VTOL
        coeficiente_similitud:   0.20
        valor_parametro:   25.85
        parametros_validos:   6.00
        familias_cumplidas:   3.00
        diferencias_promedio:   25.97
        razon_aceptacion:   Cumple ≥3 familias
  - Item 3:
        aeronave:   V35
        coeficiente_similitud:   0.00
        valor_parametro:   26.93
        parametros_validos:   7.00
        familias_cumplidas:   3.00
        diferencias_promedio:   36.50
        razon_aceptacion:   Cumple ≥3 familias
  - Item 4:
        aeronave:   YANGDA Sky Whale Mini Electric Long Endurance VTOL Drone
        coeficiente_similitud:   0.00
        valor_parametro:   29.84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Alcance de la aeronave (km): [405.00, 259.20, 252.00, 319.10]
    Velocidad máxima (m/s IAS): [33.00, 30.00, 33.00, 33.30]
    Rango de comunicación: [30.00, nan, 30.00, nan]
Iteración imputación:   1.00
</t>
      </text>
    </comment>
    <comment ref="M77" authorId="1" shapeId="0">
      <text>
        <t xml:space="preserve">=== IMPUTED VALUE ===
Aeronave:   P550
Parámetro:   Alcance de la aeronave (km)
Valor imputado:   358.35
Confianza:   0.19
Método predictivo:   Similitud
Iteración imputación:   1.00
variable_independiente_1:   None
=== SIMILARITY DETAILS ===
Aeronave:   P550
Parámetro:   Alcance de la aeronave (km)
Valor imputado:   358.35
Confianza:   0.19
Vecinos entrenamiento: [V39, Skyeye 2930 VTOL, V35, YANGDA Sky Whale Mini Electric Long Endurance VTOL Drone]
k:   4.00
Penalizacion_k:   0.53
Confianza Similitud:   0.35
Confianza Datos:   0.55
Confianza CV:   0.60
CV:   0.20
Dispersión:   61.33
Advertencia:   confianza_baja
Método predictivo:   Similitud
Familia:   Filtrado directo
coeficientes_similitud: [0.42, 0.20, 0.00, 0.00]
valores_vecinos: [405.00, 259.20, 252.00, 319.10]
aeronaves_similares_detalle:
  - Item 1:
        aeronave:   V39
        coeficiente_similitud:   0.42
        valor_parametro:   405.00
        parametros_validos:   6.00
        familias_cumplidas:   3.00
        diferencias_promedio:   19.98
        razon_aceptacion:   Cumple ≥3 familias
  - Item 2:
        aeronave:   Skyeye 2930 VTOL
        coeficiente_similitud:   0.20
        valor_parametro:   259.20
        parametros_validos:   6.00
        familias_cumplidas:   3.00
        diferencias_promedio:   25.97
        razon_aceptacion:   Cumple ≥3 familias
  - Item 3:
        aeronave:   V35
        coeficiente_similitud:   0.00
        valor_parametro:   252.00
        parametros_validos:   7.00
        familias_cumplidas:   3.00
        diferencias_promedio:   36.50
        razon_aceptacion:   Cumple ≥3 familias
  - Item 4:
        aeronave:   YANGDA Sky Whale Mini Electric Long Endurance VTOL Drone
        coeficiente_similitud:   0.00
        valor_parametro:   319.10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Velocidad a la que se realiza el crucero (m/s TAS): [26.93, 25.85, 26.93, 29.84]
    Velocidad máxima (m/s IAS): [33.00, 30.00, 33.00, 33.30]
    Rango de comunicación: [30.00, nan, 30.00, nan]
Iteración imputación:   1.00
</t>
      </text>
    </comment>
    <comment ref="O77" authorId="1" shapeId="0">
      <text>
        <t xml:space="preserve">=== IMPUTED VALUE ===
Aeronave:   P550
Parámetro:   Velocidad máxima (m/s IAS)
Valor imputado:   32.04
Confianza:   0.23
Método predictivo:   Similitud
Iteración imputación:   1.00
variable_independiente_1:   None
=== SIMILARITY DETAILS ===
Aeronave:   P550
Parámetro:   Velocidad máxima (m/s IAS)
Valor imputado:   32.04
Confianza:   0.23
Vecinos entrenamiento: [V39, Skyeye 2930 VTOL, V35, YANGDA Sky Whale Mini Electric Long Endurance VTOL Drone]
k:   4.00
Penalizacion_k:   0.53
Confianza Similitud:   0.35
Confianza Datos:   0.65
Confianza CV:   0.92
CV:   0.04
Dispersión:   1.35
Advertencia:   confianza_baja
Método predictivo:   Similitud
Familia:   Filtrado directo
coeficientes_similitud: [0.42, 0.20, 0.00, 0.00]
valores_vecinos: [33.00, 30.00, 33.00, 33.30]
aeronaves_similares_detalle:
  - Item 1:
        aeronave:   V39
        coeficiente_similitud:   0.42
        valor_parametro:   33.00
        parametros_validos:   6.00
        familias_cumplidas:   3.00
        diferencias_promedio:   19.98
        razon_aceptacion:   Cumple ≥3 familias
  - Item 2:
        aeronave:   Skyeye 2930 VTOL
        coeficiente_similitud:   0.20
        valor_parametro:   30.00
        parametros_validos:   6.00
        familias_cumplidas:   3.00
        diferencias_promedio:   25.97
        razon_aceptacion:   Cumple ≥3 familias
  - Item 3:
        aeronave:   V35
        coeficiente_similitud:   0.00
        valor_parametro:   33.00
        parametros_validos:   7.00
        familias_cumplidas:   3.00
        diferencias_promedio:   36.50
        razon_aceptacion:   Cumple ≥3 familias
  - Item 4:
        aeronave:   YANGDA Sky Whale Mini Electric Long Endurance VTOL Drone
        coeficiente_similitud:   0.00
        valor_parametro:   33.30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Alcance de la aeronave (km): [405.00, 259.20, 252.00, 319.10]
    Velocidad a la que se realiza el crucero (m/s TAS): [26.93, 25.85, 26.93, 29.84]
    Rango de comunicación: [30.00, nan, 30.00, nan]
Iteración imputación:   1.00
</t>
      </text>
    </comment>
    <comment ref="AA77" authorId="1" shapeId="0">
      <text>
        <t xml:space="preserve">=== CÁLCULO APLICADO ===
formula:   W0 = MTOW - Payload
inputs:
    MTOW:   25.00
    Payload:   6.80
</t>
      </text>
    </comment>
    <comment ref="C78" authorId="1" shapeId="0">
      <text>
        <t xml:space="preserve">=== CÁLCULO APLICADO ===
formula:   Altitud asumida = 5000 pies
inputs:
</t>
      </text>
    </comment>
    <comment ref="C79" authorId="1" shapeId="0">
      <text>
        <t xml:space="preserve">=== CÁLCULO APLICADO ===
formula:   Altitud asumida = 5000 pies
inputs:
</t>
      </text>
    </comment>
    <comment ref="D79" authorId="1" shapeId="0">
      <text>
        <t xml:space="preserve">=== CÁLCULO APLICADO ===
formula:   TAS_5000 = IAS / sqrt(σ_5000)
inputs:
    IAS:   23.05
    σ_5000:   0.86
</t>
      </text>
    </comment>
    <comment ref="M79" authorId="1" shapeId="0">
      <text>
        <t xml:space="preserve">=== CÁLCULO APLICADO ===
formula:   R[km] = h*3600*V/1000
inputs:
    Autonomía[h]:   3.00
    Velocidad[m/s]:   23.05
</t>
      </text>
    </comment>
    <comment ref="C80" authorId="1" shapeId="0">
      <text>
        <t xml:space="preserve">=== CÁLCULO APLICADO ===
formula:   Altitud asumida = 5000 pies
inputs:
</t>
      </text>
    </comment>
    <comment ref="U80" authorId="1" shapeId="0">
      <text>
        <t xml:space="preserve">
=== CORRELATION DETAILS ===
Aeronave:   Raven B (RQ-11B)
Parámetro:   Payload
Valor imputado:   nan
Confianza:   0.00
Corr:   0.00
k:   0.00
Tipo Modelo:   n/a
Predictores:   
Penalizacion_k:   0.00
Familia:   n/a
Método predictivo:   Correlacion
Advertencia:   ❌ No se pudo imputar valor por ningún método.
Iteración imputación:   1.00
</t>
      </text>
    </comment>
    <comment ref="AA80" authorId="1" shapeId="0">
      <text>
        <t xml:space="preserve">
=== CORRELATION DETAILS ===
Aeronave:   Raven B (RQ-11B)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C81" authorId="1" shapeId="0">
      <text>
        <t xml:space="preserve">=== CÁLCULO APLICADO ===
formula:   Altitud asumida = 5000 pies
inputs:
</t>
      </text>
    </comment>
    <comment ref="AA81" authorId="1" shapeId="0">
      <text>
        <t xml:space="preserve">=== CÁLCULO APLICADO ===
formula:   W0 = MTOW - Payload
inputs:
    MTOW:   6.00
    Payload:   0.80
</t>
      </text>
    </comment>
    <comment ref="C82" authorId="1" shapeId="0">
      <text>
        <t xml:space="preserve">=== CÁLCULO APLICADO ===
formula:   Altitud asumida = 5000 pies
inputs:
</t>
      </text>
    </comment>
    <comment ref="D82" authorId="1" shapeId="0">
      <text>
        <t xml:space="preserve">=== CÁLCULO APLICADO ===
formula:   TAS_5000 = IAS / sqrt(σ_5000)
inputs:
    IAS:   17.00
    σ_5000:   0.86
</t>
      </text>
    </comment>
    <comment ref="M82" authorId="1" shapeId="0">
      <text>
        <t xml:space="preserve">=== CÁLCULO APLICADO ===
formula:   R[km] = h*3600*V/1000
inputs:
    Autonomía[h]:   0.83
    Velocidad[m/s]:   17.00
</t>
      </text>
    </comment>
    <comment ref="C83" authorId="1" shapeId="0">
      <text>
        <t xml:space="preserve">=== CÁLCULO APLICADO ===
formula:   Altitud asumida = 5000 pies
inputs:
</t>
      </text>
    </comment>
    <comment ref="D83" authorId="1" shapeId="0">
      <text>
        <t xml:space="preserve">
=== CORRELATION DETAILS ===
Aeronave:   Ruppel (BETA 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83" authorId="1" shapeId="0">
      <text>
        <t xml:space="preserve">
=== CORRELATION DETAILS ===
Aeronave:   Ruppel (BETA UAS)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M83" authorId="1" shapeId="0">
      <text>
        <t xml:space="preserve">
=== CORRELATION DETAILS ===
Aeronave:   Ruppel (BETA 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3" authorId="1" shapeId="0">
      <text>
        <t xml:space="preserve">=== IMPUTED VALUE ===
Aeronave:   Ruppel (BETA UAS)
Parámetro:   Velocidad máxima (m/s IAS)
Valor imputado:   37.62
Confianza:   0.14
Método predictivo:   Correlacion
Iteración imputación:   1.00
variable_independiente_1:   2.30
variable_independiente_2:   30.00
=== CORRELATION DETAILS ===
Aeronave:   Ruppel (BETA UAS)
Parámetro:   Velocidad máxima (m/s IAS)
Valor imputado:   37.62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2.30
variable_independiente_2:   30.00
</t>
      </text>
    </comment>
    <comment ref="W83" authorId="1" shapeId="0">
      <text>
        <t xml:space="preserve">
=== CORRELATION DETAILS ===
Aeronave:   Ruppel (BETA UAS)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AA83" authorId="1" shapeId="0">
      <text>
        <t xml:space="preserve">=== CÁLCULO APLICADO ===
formula:   W0 = MTOW - Payload
inputs:
    MTOW:   30.00
    Payload:   10.00
</t>
      </text>
    </comment>
    <comment ref="B84" authorId="1" shapeId="0">
      <text>
        <t xml:space="preserve">
=== CORRELATION DETAILS ===
Aeronave:   Omnibe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84" authorId="1" shapeId="0">
      <text>
        <t xml:space="preserve">=== CÁLCULO APLICADO ===
formula:   Altitud asumida = 5000 pies
inputs:
</t>
      </text>
    </comment>
    <comment ref="D84" authorId="1" shapeId="0">
      <text>
        <t xml:space="preserve">=== CÁLCULO APLICADO ===
formula:   TAS_5000 = IAS / sqrt(σ_5000)
inputs:
    IAS:   19.00
    σ_5000:   0.86
</t>
      </text>
    </comment>
    <comment ref="E84" authorId="1" shapeId="0">
      <text>
        <t xml:space="preserve">
=== CORRELATION DETAILS ===
Aeronave:   Omnibe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G84" authorId="1" shapeId="0">
      <text>
        <t xml:space="preserve">=== IMPUTED VALUE ===
Aeronave:   Omnibe (BETA UAS)
Parámetro:   Área del ala
Valor imputado:   1.31
Confianza:   0.00
Método predictivo:   Correlacion
Iteración imputación:   1.00
variable_independiente_1:   28.00
=== CORRELATION DETAILS ===
Aeronave:   Omnibe (BETA UAS)
Parámetro:   Área del ala
Valor imputado:   1.31
Confianza:   0.00
Tipo Modelo:   log-1
Predictores:   Velocidad máxima (m/s IAS)
Coeficientes: [1.33]
Peso de predictores: [1.00]
Aeronaves entrenamiento: [Stalker XE, Stalker VXE30 Fuel Cell, Stalker VXE30 Battery, Aerosonde Mk. 4.7 Fixed Wing, Aerosonde Mk. 4.8 Fixed wing]
k:   5.00
Penalizacion_k:   0.27
Corr:   0.99
MAPE:   0.35
R2:   1.00
Confianza_LOOCV:   0.25
k_LOOCV:   5.00
Corr_LOOCV:   0.92
MAPE_LOOCV:   2.34
R2_LOOCV:   0.99
Método predictivo:   Correlacion
Advertencia:   Advertencia: El MAPE de validación es más de 5 veces mayor que el de entrenamiento (2.34% vs 0.35%). Posible sobreajuste.; 🟢 Modelo robusto
Outliers_duros_removidos:   0.00
Outliers_suaves_pesados:   3.00
Familia:   F2
Iteración imputación:   1.00
variable_independiente_1:   28.00
</t>
      </text>
    </comment>
    <comment ref="H84" authorId="1" shapeId="0">
      <text>
        <t xml:space="preserve">=== IMPUTED VALUE ===
Aeronave:   Omnibe (BETA UAS)
Parámetro:   Relación de aspecto del ala
Valor imputado:   14.21
Confianza:   0.00
Método predictivo:   Correlacion
Iteración imputación:   1.00
variable_independiente_1:   20.47
=== CORRELATION DETAILS ===
Aeronave:   Omnibe (BETA UAS)
Parámetro:   Relación de aspecto del ala
Valor imputado:   14.21
Confianza:   0.00
Tipo Modelo:   log-1
Predictores:   Velocidad a la que se realiza el crucero (m/s TAS)
Coeficientes: [-6.12]
Peso de predictores: [1.00]
Aeronaves entrenamiento: [Stalker XE, Stalker VXE30 Fuel Cell, Stalker VXE30 Battery, Aerosonde Mk. 4.7 Fixed Wing, Aerosonde Mk. 4.8 Fixed wing]
k:   5.00
Penalizacion_k:   0.27
Corr:   0.98
MAPE:   0.60
R2:   0.99
Confianza_LOOCV:   0.26
k_LOOCV:   5.00
Corr_LOOCV:   0.97
MAPE_LOOCV:   0.65
R2_LOOCV:   0.99
Método predictivo:   Correlacion
Advertencia:   🟢 Modelo robusto
Outliers_duros_removidos:   0.00
Outliers_suaves_pesados:   5.00
Familia:   F2
Iteración imputación:   1.00
variable_independiente_1:   20.47
</t>
      </text>
    </comment>
    <comment ref="J84" authorId="1" shapeId="0">
      <text>
        <t xml:space="preserve">
=== CORRELATION DETAILS ===
Aeronave:   Omnibe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4" authorId="1" shapeId="0">
      <text>
        <t xml:space="preserve">=== IMPUTED VALUE ===
Aeronave:   Omnibe (BETA UAS)
Parámetro:   Ancho del fuselaje
Valor imputado:   0.23
Confianza:   0.00
Método predictivo:   Correlacion
Iteración imputación:   1.00
variable_independiente_1:   20.47
=== CORRELATION DETAILS ===
Aeronave:   Omnibe (BETA UAS)
Parámetro:   Ancho del fuselaje
Valor imputado:   0.23
Confianza:   0.00
Tipo Modelo:   log-1
Predictores:   Velocidad a la que se realiza el crucero (m/s TAS)
Coeficientes: [0.16]
Peso de predictores: [1.00]
Aeronaves entrenamiento: [Stalker XE, Stalker VXE30 Fuel Cell, Stalker VXE30 Battery, Aerosonde Mk. 4.7 Fixed Wing, Aerosonde Mk. 4.8 Fixed wing]
k:   5.00
Penalizacion_k:   0.27
Corr:   0.90
MAPE:   2.60
R2:   0.97
Confianza_LOOCV:   0.23
k_LOOCV:   5.00
Corr_LOOCV:   0.86
MAPE_LOOCV:   3.36
R2_LOOCV:   0.94
Método predictivo:   Correlacion
Advertencia:   🟢 Modelo robusto
Outliers_duros_removidos:   0.00
Outliers_suaves_pesados:   5.00
Familia:   F2
Iteración imputación:   1.00
variable_independiente_1:   20.47
</t>
      </text>
    </comment>
    <comment ref="M84" authorId="1" shapeId="0">
      <text>
        <t xml:space="preserve">=== CÁLCULO APLICADO ===
formula:   R[km] = h*3600*V/1000
inputs:
    Autonomía[h]:   1.50
    Velocidad[m/s]:   19.00
</t>
      </text>
    </comment>
    <comment ref="P84" authorId="1" shapeId="0">
      <text>
        <t xml:space="preserve">=== IMPUTED VALUE ===
Aeronave:   Omnibe (BETA UAS)
Parámetro:   Velocidad de pérdida (m/s CAS)
Valor imputado:   14.00
Confianza:   0.06
Método predictivo:   Correlacion
Iteración imputación:   1.00
variable_independiente_1:   14.00
variable_independiente_2:   2.00
=== CORRELATION DETAILS ===
Aeronave:   Omnibe (BETA UAS)
Parámetro:   Velocidad de pérdida (m/s CAS)
Valor imputado:   14.00
Confianza:   0.06
Tipo Modelo:   linear-2
Predictores:   Velocidad de pérdida limpia (m/s CAS),Longitud del fuselaje
Coeficientes: [1.00, 0.00]
Peso de predictores: [1.00, 0.00]
Aeronaves entrenamiento: [V21, V25, V32, Skyeye 2600, Skyeye 2930 VTOL, Skyeye 3600, Skyeye 3600 VTOL, Skyeye 5000, Volitation VT510]
k:   9.00
Penalizacion_k:   0.61
Corr:   1.00
MAPE:   0.00
R2:   1.00
Confianza_LOOCV:   0.61
k_LOOCV:   9.00
Corr_LOOCV:   1.00
MAPE_LOOCV:   0.00
R2_LOOCV:   1.00
Método predictivo:   Correlacion
Advertencia:   🟢 Modelo robusto
Outliers_duros_removidos:   0.00
Outliers_suaves_pesados:   8.00
Familia:   sin filtro
Iteración imputación:   1.00
variable_independiente_1:   14.00
variable_independiente_2:   2.00
</t>
      </text>
    </comment>
    <comment ref="Q84" authorId="1" shapeId="0">
      <text>
        <t xml:space="preserve">
=== CORRELATION DETAILS ===
Aeronave:   Omnibe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4" authorId="1" shapeId="0">
      <text>
        <t xml:space="preserve">
=== CORRELATION DETAILS ===
Aeronave:   Omnibe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4" authorId="1" shapeId="0">
      <text>
        <t xml:space="preserve">
=== CORRELATION DETAILS ===
Aeronave:   Omnibe (BETA UAS)
Parámetro:   Cuerda
Valor imputado:   nan
Confianza:   0.00
Corr:   0.00
k:   0.00
Tipo Modelo:   n/a
Predictores:   
Penalizacion_k:   0.00
Familia:   F2
Método predictivo:   Correlacion
Advertencia:   ❌ Todos los modelos descartados por LOOCV (MAPE &gt; 12.5% o R2 &lt;= 0.45)
Iteración imputación:   1.00
</t>
      </text>
    </comment>
    <comment ref="V84" authorId="1" shapeId="0">
      <text>
        <t xml:space="preserve">
=== CORRELATION DETAILS ===
Aeronave:   Omnibe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X84" authorId="1" shapeId="0">
      <text>
        <t xml:space="preserve">
=== CORRELATION DETAILS ===
Aeronave:   Omnibe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4" authorId="1" shapeId="0">
      <text>
        <t xml:space="preserve">
=== CORRELATION DETAILS ===
Aeronave:   Omnibe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4" authorId="1" shapeId="0">
      <text>
        <t xml:space="preserve">=== IMPUTED VALUE ===
Aeronave:   Omnibe (BETA UAS)
Parámetro:   Peso vacio - fuel y battery
Valor imputado:   7.77
Confianza:   0.03
Método predictivo:   Correlacion
Iteración imputación:   1.00
variable_independiente_1:   2.00
variable_independiente_2:   12.00
=== CORRELATION DETAILS ===
Aeronave:   Omnibe (BETA UAS)
Parámetro:   Peso vacio - fuel y battery
Valor imputado:   7.77
Confianza:   0.03
Tipo Modelo:   linear-2
Predictores:   Longitud del fuselaje,Peso máximo al despegue (MTOW)
Coeficientes: [1.63, 0.53]
Peso de predictores: [0.75, 0.25]
Aeronaves entrenamiento: [DeltaQuad Evo, Ascend, Transition, Reach, YANGDA Sky Whale Max Hybrid Heavy Lift Long Endurance VTOL Drone, YANGDA Sky Whale Mini Electric Long Endurance VTOL Drone, WingtraOne GEN II]
k:   7.00
Penalizacion_k:   0.44
Corr:   0.90
MAPE:   3.03
R2:   1.00
Confianza_LOOCV:   0.37
k_LOOCV:   7.00
Corr_LOOCV:   0.85
MAPE_LOOCV:   4.59
R2_LOOCV:   1.00
Método predictivo:   Correlacion
Advertencia:   🟢 Modelo robusto
Outliers_duros_removidos:   0.00
Outliers_suaves_pesados:   7.00
Familia:   sin filtro
Iteración imputación:   1.00
variable_independiente_1:   2.00
variable_independiente_2:   12.00
</t>
      </text>
    </comment>
    <comment ref="AB84" authorId="1" shapeId="0">
      <text>
        <t xml:space="preserve">
=== CORRELATION DETAILS ===
Aeronave:   Omnibe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4" authorId="1" shapeId="0">
      <text>
        <t xml:space="preserve">
=== CORRELATION DETAILS ===
Aeronave:   Omnibe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4" authorId="1" shapeId="0">
      <text>
        <t xml:space="preserve">
=== CORRELATION DETAILS ===
Aeronave:   Omnibe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4" authorId="1" shapeId="0">
      <text>
        <t xml:space="preserve">
=== CORRELATION DETAILS ===
Aeronave:   Omnibe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4" authorId="1" shapeId="0">
      <text>
        <t xml:space="preserve">
=== CORRELATION DETAILS ===
Aeronave:   Omnibe (BETA 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4" authorId="1" shapeId="0">
      <text>
        <t xml:space="preserve">
=== CORRELATION DETAILS ===
Aeronave:   Omnibe (BETA UAS)
Parámetro:   Consumo
Valor imputado:   nan
Confianza:   0.00
Corr:   0.00
k:   0.00
Tipo Modelo:   n/a
Predictores:   
Penalizacion_k:   0.00
Familia:   n/a
Método predictivo:   Correlacion
Advertencia:   ❌ No se pudo imputar valor por ningún método.
Iteración imputación:   1.00
</t>
      </text>
    </comment>
    <comment ref="AI84" authorId="1" shapeId="0">
      <text>
        <t xml:space="preserve">
=== CORRELATION DETAILS ===
Aeronave:   Omnibe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4" authorId="1" shapeId="0">
      <text>
        <t xml:space="preserve">
=== CORRELATION DETAILS ===
Aeronave:   Omnibe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4" authorId="1" shapeId="0">
      <text>
        <t xml:space="preserve">
=== CORRELATION DETAILS ===
Aeronave:   Omnibe (BETA UAS)
Parámetro:   Precio
Valor imputado:   nan
Confianza:   0.00
Corr:   0.00
k:   0.00
Tipo Modelo:   n/a
Predictores:   
Penalizacion_k:   0.00
Familia:   n/a
Método predictivo:   Correlacion
Advertencia:   ❌ No se pudo imputar valor por ningún método.
Iteración imputación:   1.00
</t>
      </text>
    </comment>
    <comment ref="AL84" authorId="1" shapeId="0">
      <text>
        <t xml:space="preserve">
=== CORRELATION DETAILS ===
Aeronave:   Omnibe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selection pane="bottomLeft"/>
      <selection pane="bottomRight" activeCell="AV13" sqref="AV13"/>
    </sheetView>
  </sheetViews>
  <sheetFormatPr baseColWidth="10" defaultRowHeight="15"/>
  <cols>
    <col width="56.28515625" customWidth="1" min="1" max="1"/>
    <col width="11.7109375" customWidth="1" min="2" max="38"/>
  </cols>
  <sheetData>
    <row r="1" ht="81" customFormat="1" customHeight="1" s="77">
      <c r="A1" s="68" t="inlineStr">
        <is>
          <t>Modelo</t>
        </is>
      </c>
      <c r="B1" s="69" t="inlineStr">
        <is>
          <t>Distancia de carrera requerida para despegue</t>
        </is>
      </c>
      <c r="C1" s="70" t="inlineStr">
        <is>
          <t>Altitud a la que se realiza el crucero</t>
        </is>
      </c>
      <c r="D1" s="70" t="inlineStr">
        <is>
          <t>Velocidad a la que se realiza el crucero (m/s TAS)</t>
        </is>
      </c>
      <c r="E1" s="4" t="inlineStr">
        <is>
          <t>Techo de servicio máximo</t>
        </is>
      </c>
      <c r="F1" s="4" t="inlineStr">
        <is>
          <t>Velocidad de pérdida limpia (m/s CAS)</t>
        </is>
      </c>
      <c r="G1" s="71" t="inlineStr">
        <is>
          <t>Área del ala</t>
        </is>
      </c>
      <c r="H1" s="71" t="inlineStr">
        <is>
          <t>Relación de aspecto del ala</t>
        </is>
      </c>
      <c r="I1" s="72" t="inlineStr">
        <is>
          <t>Longitud del fuselaje</t>
        </is>
      </c>
      <c r="J1" s="72" t="inlineStr">
        <is>
          <t>Profundidad del fuselaje</t>
        </is>
      </c>
      <c r="K1" s="72" t="inlineStr">
        <is>
          <t>Ancho del fuselaje</t>
        </is>
      </c>
      <c r="L1" s="69" t="inlineStr">
        <is>
          <t>Peso máximo al despegue (MTOW)</t>
        </is>
      </c>
      <c r="M1" s="73" t="inlineStr">
        <is>
          <t>Alcance de la aeronave (km)</t>
        </is>
      </c>
      <c r="N1" s="73" t="inlineStr">
        <is>
          <t>Autonomía de la aeronave (h)</t>
        </is>
      </c>
      <c r="O1" s="5" t="inlineStr">
        <is>
          <t>Velocidad máxima (m/s IAS)</t>
        </is>
      </c>
      <c r="P1" s="5" t="inlineStr">
        <is>
          <t>Velocidad de pérdida (m/s CAS)</t>
        </is>
      </c>
      <c r="Q1" s="5" t="inlineStr">
        <is>
          <t>Tasa de ascenso</t>
        </is>
      </c>
      <c r="R1" s="5" t="inlineStr">
        <is>
          <t>Radio de giro</t>
        </is>
      </c>
      <c r="S1" s="71" t="inlineStr">
        <is>
          <t>Envergadura</t>
        </is>
      </c>
      <c r="T1" s="71" t="inlineStr">
        <is>
          <t>Cuerda</t>
        </is>
      </c>
      <c r="U1" s="69" t="inlineStr">
        <is>
          <t>Payload</t>
        </is>
      </c>
      <c r="V1" s="6" t="inlineStr">
        <is>
          <t>duracion en VTOL</t>
        </is>
      </c>
      <c r="W1" s="70" t="inlineStr">
        <is>
          <t>Velocidad crucero (m/s IAS)</t>
        </is>
      </c>
      <c r="X1" s="6" t="inlineStr">
        <is>
          <t>Battery Weight</t>
        </is>
      </c>
      <c r="Y1" s="6" t="inlineStr">
        <is>
          <t>Peso frame</t>
        </is>
      </c>
      <c r="Z1" s="6" t="inlineStr">
        <is>
          <t>Peso vacio - fuel y battery</t>
        </is>
      </c>
      <c r="AA1" s="69" t="inlineStr">
        <is>
          <t>Peso Vacio (MTOW - payload)</t>
        </is>
      </c>
      <c r="AB1" s="6" t="inlineStr">
        <is>
          <t>Maximum Crosswind (rachas)</t>
        </is>
      </c>
      <c r="AC1" s="6" t="inlineStr">
        <is>
          <t>Maximum Crosswind (sostenido)</t>
        </is>
      </c>
      <c r="AD1" s="6" t="inlineStr">
        <is>
          <t>Rango de comunicación</t>
        </is>
      </c>
      <c r="AE1" s="6" t="inlineStr">
        <is>
          <t>Wing Loading</t>
        </is>
      </c>
      <c r="AF1" s="6" t="inlineStr">
        <is>
          <t>Potencia específica (P/W)</t>
        </is>
      </c>
      <c r="AG1" s="6" t="inlineStr">
        <is>
          <t>Capacidad combustible</t>
        </is>
      </c>
      <c r="AH1" s="6" t="inlineStr">
        <is>
          <t>Consumo</t>
        </is>
      </c>
      <c r="AI1" s="6" t="inlineStr">
        <is>
          <t>Potencia Watts</t>
        </is>
      </c>
      <c r="AJ1" s="6" t="inlineStr">
        <is>
          <t>Potencia HP</t>
        </is>
      </c>
      <c r="AK1" s="74" t="inlineStr">
        <is>
          <t>Precio</t>
        </is>
      </c>
      <c r="AL1" s="74" t="inlineStr">
        <is>
          <t>Tiempo de emergencia en vuelo</t>
        </is>
      </c>
      <c r="AM1" s="4" t="inlineStr">
        <is>
          <t>Despegue</t>
        </is>
      </c>
      <c r="AN1" s="75" t="inlineStr">
        <is>
          <t>Propulsión horizontal</t>
        </is>
      </c>
      <c r="AO1" s="75" t="inlineStr">
        <is>
          <t>Propulsión vertical</t>
        </is>
      </c>
      <c r="AP1" s="75" t="inlineStr">
        <is>
          <t>Cantidad de motores propulsión vertical</t>
        </is>
      </c>
      <c r="AQ1" s="75" t="inlineStr">
        <is>
          <t>Cantidad de motores propulsión horizontal</t>
        </is>
      </c>
      <c r="AR1" s="75" t="inlineStr">
        <is>
          <t>Misión</t>
        </is>
      </c>
      <c r="AS1" s="76" t="inlineStr">
        <is>
          <t>Clase</t>
        </is>
      </c>
    </row>
    <row r="2" ht="18.75" customHeight="1">
      <c r="A2" s="7" t="inlineStr">
        <is>
          <t>Stalker XE</t>
        </is>
      </c>
      <c r="B2" s="11" t="inlineStr">
        <is>
          <t>Nan</t>
        </is>
      </c>
      <c r="C2" s="78" t="n">
        <v>5000</v>
      </c>
      <c r="D2" s="79" t="n">
        <v>16.63</v>
      </c>
      <c r="E2" s="10" t="n">
        <v>12000</v>
      </c>
      <c r="F2" s="11" t="inlineStr">
        <is>
          <t>Nan</t>
        </is>
      </c>
      <c r="G2" s="12" t="n">
        <v>0.87</v>
      </c>
      <c r="H2" s="12">
        <f>S2/T2</f>
        <v/>
      </c>
      <c r="I2" s="12" t="n">
        <v>2.1</v>
      </c>
      <c r="J2" s="13" t="inlineStr">
        <is>
          <t>Nan</t>
        </is>
      </c>
      <c r="K2" s="13" t="n">
        <v>0.211</v>
      </c>
      <c r="L2" s="14" t="n">
        <v>13.6</v>
      </c>
      <c r="M2" s="15" t="n">
        <v>370</v>
      </c>
      <c r="N2" s="15" t="n">
        <v>8</v>
      </c>
      <c r="O2" s="15" t="n">
        <v>20</v>
      </c>
      <c r="P2" s="16" t="inlineStr">
        <is>
          <t>Nan</t>
        </is>
      </c>
      <c r="Q2" s="16" t="inlineStr">
        <is>
          <t>Nan</t>
        </is>
      </c>
      <c r="R2" s="16" t="inlineStr">
        <is>
          <t>Nan</t>
        </is>
      </c>
      <c r="S2" s="17" t="n">
        <v>3.657</v>
      </c>
      <c r="T2" s="17" t="n">
        <v>0.239</v>
      </c>
      <c r="U2" s="17" t="n">
        <v>2.494756</v>
      </c>
      <c r="V2" s="17" t="n">
        <v>2</v>
      </c>
      <c r="W2" s="66" t="n">
        <v>15.43332</v>
      </c>
      <c r="X2" s="17" t="inlineStr">
        <is>
          <t>Nan</t>
        </is>
      </c>
      <c r="Y2" s="17" t="inlineStr">
        <is>
          <t>Nan</t>
        </is>
      </c>
      <c r="Z2" s="17" t="inlineStr">
        <is>
          <t>Nan</t>
        </is>
      </c>
      <c r="AA2" s="17" t="n">
        <v>10.886208</v>
      </c>
      <c r="AB2" s="17" t="inlineStr">
        <is>
          <t>Nan</t>
        </is>
      </c>
      <c r="AC2" s="17" t="inlineStr">
        <is>
          <t>Nan</t>
        </is>
      </c>
      <c r="AD2" s="17" t="n">
        <v>59</v>
      </c>
      <c r="AE2" s="18" t="inlineStr">
        <is>
          <t>Nan</t>
        </is>
      </c>
      <c r="AF2" s="17" t="inlineStr">
        <is>
          <t>Nan</t>
        </is>
      </c>
      <c r="AG2" s="17" t="inlineStr">
        <is>
          <t>Nan</t>
        </is>
      </c>
      <c r="AH2" s="17" t="inlineStr">
        <is>
          <t>Nan</t>
        </is>
      </c>
      <c r="AI2" s="17" t="inlineStr">
        <is>
          <t>Nan</t>
        </is>
      </c>
      <c r="AJ2" s="17" t="inlineStr">
        <is>
          <t>Nan</t>
        </is>
      </c>
      <c r="AK2" s="17" t="inlineStr">
        <is>
          <t>Nan</t>
        </is>
      </c>
      <c r="AL2" s="17" t="inlineStr">
        <is>
          <t>Nan</t>
        </is>
      </c>
      <c r="AM2" s="63" t="n">
        <v>1</v>
      </c>
      <c r="AN2" s="63" t="n">
        <v>2</v>
      </c>
      <c r="AO2" s="63" t="n">
        <v>5</v>
      </c>
      <c r="AP2" s="63" t="n">
        <v>0</v>
      </c>
      <c r="AQ2" s="63" t="n">
        <v>1</v>
      </c>
      <c r="AR2" s="63" t="n">
        <v>1</v>
      </c>
      <c r="AS2" s="63" t="n">
        <v>1</v>
      </c>
      <c r="AW2" t="inlineStr">
        <is>
          <t>datos que se pueden obtener a partir de otros datos</t>
        </is>
      </c>
    </row>
    <row r="3" ht="18.75" customHeight="1">
      <c r="A3" s="7" t="inlineStr">
        <is>
          <t>Stalker VXE30 Fuel Cell</t>
        </is>
      </c>
      <c r="B3" s="11" t="inlineStr">
        <is>
          <t>Nan</t>
        </is>
      </c>
      <c r="C3" s="78" t="n">
        <v>5000</v>
      </c>
      <c r="D3" s="79" t="n">
        <v>17.34</v>
      </c>
      <c r="E3" s="10" t="n">
        <v>12000</v>
      </c>
      <c r="F3" s="11" t="inlineStr">
        <is>
          <t>Nan</t>
        </is>
      </c>
      <c r="G3" s="12" t="n">
        <v>1.1582832</v>
      </c>
      <c r="H3" s="12" t="n">
        <v>15.32644883465186</v>
      </c>
      <c r="I3" s="12" t="n">
        <v>2.5908</v>
      </c>
      <c r="J3" s="13" t="inlineStr">
        <is>
          <t>Nan</t>
        </is>
      </c>
      <c r="K3" s="13" t="n">
        <v>0.2</v>
      </c>
      <c r="L3" s="14" t="n">
        <v>19.95</v>
      </c>
      <c r="M3" s="15" t="n">
        <v>433</v>
      </c>
      <c r="N3" s="15" t="n">
        <v>8</v>
      </c>
      <c r="O3" s="15" t="n">
        <v>25.034211403264</v>
      </c>
      <c r="P3" s="16" t="inlineStr">
        <is>
          <t>Nan</t>
        </is>
      </c>
      <c r="Q3" s="16" t="inlineStr">
        <is>
          <t>Nan</t>
        </is>
      </c>
      <c r="R3" s="16" t="inlineStr">
        <is>
          <t>Nan</t>
        </is>
      </c>
      <c r="S3" s="17" t="n">
        <v>4.8768</v>
      </c>
      <c r="T3" s="17" t="n">
        <v>0.31819504</v>
      </c>
      <c r="U3" s="17" t="n">
        <v>2.494756</v>
      </c>
      <c r="V3" s="17" t="inlineStr">
        <is>
          <t>Nan</t>
        </is>
      </c>
      <c r="W3" s="17" t="n">
        <v>16.093421616384</v>
      </c>
      <c r="X3" s="17" t="inlineStr">
        <is>
          <t>Nan</t>
        </is>
      </c>
      <c r="Y3" s="17" t="inlineStr">
        <is>
          <t>Nan</t>
        </is>
      </c>
      <c r="Z3" s="17" t="inlineStr">
        <is>
          <t>Nan</t>
        </is>
      </c>
      <c r="AA3" s="17" t="n">
        <v>17.46</v>
      </c>
      <c r="AB3" s="17" t="inlineStr">
        <is>
          <t>Nan</t>
        </is>
      </c>
      <c r="AC3" s="17" t="inlineStr">
        <is>
          <t>Nan</t>
        </is>
      </c>
      <c r="AD3" s="17" t="n">
        <v>100</v>
      </c>
      <c r="AE3" s="17" t="inlineStr">
        <is>
          <t>Nan</t>
        </is>
      </c>
      <c r="AF3" s="17" t="inlineStr">
        <is>
          <t>Nan</t>
        </is>
      </c>
      <c r="AG3" s="17" t="inlineStr">
        <is>
          <t>Nan</t>
        </is>
      </c>
      <c r="AH3" s="17" t="inlineStr">
        <is>
          <t>Nan</t>
        </is>
      </c>
      <c r="AI3" s="17" t="inlineStr">
        <is>
          <t>Nan</t>
        </is>
      </c>
      <c r="AJ3" s="17" t="inlineStr">
        <is>
          <t>Nan</t>
        </is>
      </c>
      <c r="AK3" s="17" t="inlineStr">
        <is>
          <t>Nan</t>
        </is>
      </c>
      <c r="AL3" s="17" t="inlineStr">
        <is>
          <t>Nan</t>
        </is>
      </c>
      <c r="AM3" s="63" t="n">
        <v>1</v>
      </c>
      <c r="AN3" s="63" t="n">
        <v>2</v>
      </c>
      <c r="AO3" s="63" t="n">
        <v>5</v>
      </c>
      <c r="AP3" s="63" t="n">
        <v>0</v>
      </c>
      <c r="AQ3" s="63" t="n">
        <v>1</v>
      </c>
      <c r="AR3" s="63" t="n">
        <v>1</v>
      </c>
      <c r="AS3" s="63" t="n">
        <v>1</v>
      </c>
    </row>
    <row r="4" ht="18.75" customHeight="1">
      <c r="A4" s="7" t="inlineStr">
        <is>
          <t>Stalker VXE30 Battery</t>
        </is>
      </c>
      <c r="B4" s="11" t="inlineStr">
        <is>
          <t>Nan</t>
        </is>
      </c>
      <c r="C4" s="78" t="n">
        <v>5000</v>
      </c>
      <c r="D4" s="79" t="n">
        <v>17.34</v>
      </c>
      <c r="E4" s="10" t="n">
        <v>12000</v>
      </c>
      <c r="F4" s="11" t="inlineStr">
        <is>
          <t>Nan</t>
        </is>
      </c>
      <c r="G4" s="12">
        <f>G2*1.33136</f>
        <v/>
      </c>
      <c r="H4" s="12">
        <f>S4/T4</f>
        <v/>
      </c>
      <c r="I4" s="12" t="n">
        <v>2.5908</v>
      </c>
      <c r="J4" s="13" t="inlineStr">
        <is>
          <t>Nan</t>
        </is>
      </c>
      <c r="K4" s="12" t="n">
        <v>0.2</v>
      </c>
      <c r="L4" s="14" t="n">
        <v>21.8</v>
      </c>
      <c r="M4" s="15" t="n">
        <v>222</v>
      </c>
      <c r="N4" s="15" t="n">
        <v>4</v>
      </c>
      <c r="O4" s="15" t="n">
        <v>25.034211403264</v>
      </c>
      <c r="P4" s="16" t="inlineStr">
        <is>
          <t>Nan</t>
        </is>
      </c>
      <c r="Q4" s="16" t="inlineStr">
        <is>
          <t>Nan</t>
        </is>
      </c>
      <c r="R4" s="16" t="inlineStr">
        <is>
          <t>Nan</t>
        </is>
      </c>
      <c r="S4" s="17" t="n">
        <v>4.8768</v>
      </c>
      <c r="T4" s="17" t="n">
        <v>0.31819504</v>
      </c>
      <c r="U4" s="17" t="n">
        <v>2.494756</v>
      </c>
      <c r="V4" s="18" t="inlineStr">
        <is>
          <t>Nan</t>
        </is>
      </c>
      <c r="W4" s="17" t="n">
        <v>16.093421616384</v>
      </c>
      <c r="X4" s="17" t="inlineStr">
        <is>
          <t>Nan</t>
        </is>
      </c>
      <c r="Y4" s="17" t="inlineStr">
        <is>
          <t>Nan</t>
        </is>
      </c>
      <c r="Z4" s="17" t="inlineStr">
        <is>
          <t>Nan</t>
        </is>
      </c>
      <c r="AA4" s="17" t="n">
        <v>19.28</v>
      </c>
      <c r="AB4" s="17" t="inlineStr">
        <is>
          <t>Nan</t>
        </is>
      </c>
      <c r="AC4" s="17" t="inlineStr">
        <is>
          <t>Nan</t>
        </is>
      </c>
      <c r="AD4" s="17" t="n">
        <v>100</v>
      </c>
      <c r="AE4" s="18" t="inlineStr">
        <is>
          <t>Nan</t>
        </is>
      </c>
      <c r="AF4" s="17" t="inlineStr">
        <is>
          <t>Nan</t>
        </is>
      </c>
      <c r="AG4" s="17" t="inlineStr">
        <is>
          <t>Nan</t>
        </is>
      </c>
      <c r="AH4" s="19" t="inlineStr">
        <is>
          <t>Nan</t>
        </is>
      </c>
      <c r="AI4" s="17" t="inlineStr">
        <is>
          <t>Nan</t>
        </is>
      </c>
      <c r="AJ4" s="17" t="inlineStr">
        <is>
          <t>Nan</t>
        </is>
      </c>
      <c r="AK4" s="17" t="inlineStr">
        <is>
          <t>Nan</t>
        </is>
      </c>
      <c r="AL4" s="17" t="inlineStr">
        <is>
          <t>Nan</t>
        </is>
      </c>
      <c r="AM4" s="63" t="n">
        <v>1</v>
      </c>
      <c r="AN4" s="63" t="n">
        <v>2</v>
      </c>
      <c r="AO4" s="63" t="n">
        <v>5</v>
      </c>
      <c r="AP4" s="63" t="n">
        <v>0</v>
      </c>
      <c r="AQ4" s="63" t="n">
        <v>1</v>
      </c>
      <c r="AR4" s="63" t="n">
        <v>1</v>
      </c>
      <c r="AS4" s="63" t="n">
        <v>1</v>
      </c>
      <c r="AW4" t="inlineStr">
        <is>
          <t>peso vacio=MTOW - Payload</t>
        </is>
      </c>
    </row>
    <row r="5" ht="18.75" customHeight="1">
      <c r="A5" s="62" t="inlineStr">
        <is>
          <t>Edge Autonomy Penguin C Mk 2.5 VTOL</t>
        </is>
      </c>
      <c r="B5" s="11" t="inlineStr">
        <is>
          <t>Nan</t>
        </is>
      </c>
      <c r="C5" s="78" t="n">
        <v>5000</v>
      </c>
      <c r="D5" s="79" t="n">
        <v>16.59</v>
      </c>
      <c r="E5" s="11" t="inlineStr">
        <is>
          <t>Nan</t>
        </is>
      </c>
      <c r="F5" s="11" t="inlineStr">
        <is>
          <t>Nan</t>
        </is>
      </c>
      <c r="G5" s="13" t="inlineStr">
        <is>
          <t>Nan</t>
        </is>
      </c>
      <c r="H5" s="13" t="inlineStr">
        <is>
          <t>Nan</t>
        </is>
      </c>
      <c r="I5" s="13" t="inlineStr">
        <is>
          <t>Nan</t>
        </is>
      </c>
      <c r="J5" s="13" t="inlineStr">
        <is>
          <t>Nan</t>
        </is>
      </c>
      <c r="K5" s="13" t="inlineStr">
        <is>
          <t>Nan</t>
        </is>
      </c>
      <c r="L5" s="14" t="n">
        <v>41</v>
      </c>
      <c r="M5" s="80" t="n">
        <v>665.28</v>
      </c>
      <c r="N5" s="15" t="n">
        <v>12</v>
      </c>
      <c r="O5" s="15" t="n">
        <v>33.5</v>
      </c>
      <c r="P5" s="16" t="inlineStr">
        <is>
          <t>Nan</t>
        </is>
      </c>
      <c r="Q5" s="16" t="inlineStr">
        <is>
          <t>Nan</t>
        </is>
      </c>
      <c r="R5" s="16" t="inlineStr">
        <is>
          <t>Nan</t>
        </is>
      </c>
      <c r="S5" s="17" t="n">
        <v>4.12</v>
      </c>
      <c r="T5" s="17" t="inlineStr">
        <is>
          <t>Nan</t>
        </is>
      </c>
      <c r="U5" s="17" t="inlineStr">
        <is>
          <t>Nan</t>
        </is>
      </c>
      <c r="V5" s="17" t="inlineStr">
        <is>
          <t>Nan</t>
        </is>
      </c>
      <c r="W5" s="17" t="n">
        <v>15.4</v>
      </c>
      <c r="X5" s="18" t="inlineStr">
        <is>
          <t>Nan</t>
        </is>
      </c>
      <c r="Y5" s="17" t="inlineStr">
        <is>
          <t>Nan</t>
        </is>
      </c>
      <c r="Z5" s="17" t="inlineStr">
        <is>
          <t>Nan</t>
        </is>
      </c>
      <c r="AA5" s="17" t="inlineStr">
        <is>
          <t>Nan</t>
        </is>
      </c>
      <c r="AB5" s="17" t="inlineStr">
        <is>
          <t>Nan</t>
        </is>
      </c>
      <c r="AC5" s="17" t="inlineStr">
        <is>
          <t>Nan</t>
        </is>
      </c>
      <c r="AD5" s="17" t="n">
        <v>180</v>
      </c>
      <c r="AE5" s="17" t="inlineStr">
        <is>
          <t>Nan</t>
        </is>
      </c>
      <c r="AF5" s="17" t="inlineStr">
        <is>
          <t>Nan</t>
        </is>
      </c>
      <c r="AG5" s="17" t="inlineStr">
        <is>
          <t>Nan</t>
        </is>
      </c>
      <c r="AH5" s="17" t="inlineStr">
        <is>
          <t>Nan</t>
        </is>
      </c>
      <c r="AI5" s="17" t="inlineStr">
        <is>
          <t>Nan</t>
        </is>
      </c>
      <c r="AJ5" s="17" t="inlineStr">
        <is>
          <t>Nan</t>
        </is>
      </c>
      <c r="AK5" s="17" t="inlineStr">
        <is>
          <t>Nan</t>
        </is>
      </c>
      <c r="AL5" s="17" t="inlineStr">
        <is>
          <t>Nan</t>
        </is>
      </c>
      <c r="AM5" s="63" t="n">
        <v>1</v>
      </c>
      <c r="AN5" s="63" t="n">
        <v>2</v>
      </c>
      <c r="AO5" s="63" t="n">
        <v>1</v>
      </c>
      <c r="AP5" s="63" t="n">
        <v>4</v>
      </c>
      <c r="AQ5" s="63" t="n">
        <v>1</v>
      </c>
      <c r="AR5" s="63" t="n">
        <v>1</v>
      </c>
      <c r="AS5" s="63" t="n">
        <v>1</v>
      </c>
    </row>
    <row r="6" ht="18.75" customHeight="1">
      <c r="A6" s="8" t="inlineStr">
        <is>
          <t>Aerosonde Mk. 4.7 Fixed Wing</t>
        </is>
      </c>
      <c r="B6" s="11" t="inlineStr">
        <is>
          <t>Nan</t>
        </is>
      </c>
      <c r="C6" s="78" t="n">
        <v>5000</v>
      </c>
      <c r="D6" s="79" t="n">
        <v>26.93</v>
      </c>
      <c r="E6" s="10" t="n">
        <v>14700</v>
      </c>
      <c r="F6" s="11" t="inlineStr">
        <is>
          <t>Nan</t>
        </is>
      </c>
      <c r="G6" s="12" t="n">
        <v>1.55</v>
      </c>
      <c r="H6" s="12">
        <f>S6/T6</f>
        <v/>
      </c>
      <c r="I6" s="12" t="n">
        <v>3</v>
      </c>
      <c r="J6" s="13" t="inlineStr">
        <is>
          <t>Nan</t>
        </is>
      </c>
      <c r="K6" s="12" t="n">
        <v>0.277</v>
      </c>
      <c r="L6" s="14" t="n">
        <v>42.2</v>
      </c>
      <c r="M6" s="80" t="n">
        <v>1782</v>
      </c>
      <c r="N6" s="15" t="n">
        <v>19.8</v>
      </c>
      <c r="O6" s="15" t="n">
        <v>33.43886</v>
      </c>
      <c r="P6" s="16" t="inlineStr">
        <is>
          <t>Nan</t>
        </is>
      </c>
      <c r="Q6" s="16" t="inlineStr">
        <is>
          <t>Nan</t>
        </is>
      </c>
      <c r="R6" s="16" t="inlineStr">
        <is>
          <t>Nan</t>
        </is>
      </c>
      <c r="S6" s="17" t="n">
        <v>4.4</v>
      </c>
      <c r="T6" s="17" t="n">
        <v>0.352</v>
      </c>
      <c r="U6" s="17" t="n">
        <v>14.5</v>
      </c>
      <c r="V6" s="18" t="inlineStr">
        <is>
          <t>Nan</t>
        </is>
      </c>
      <c r="W6" s="17" t="n">
        <v>25</v>
      </c>
      <c r="X6" s="18" t="inlineStr">
        <is>
          <t>Nan</t>
        </is>
      </c>
      <c r="Y6" s="17" t="inlineStr">
        <is>
          <t>Nan</t>
        </is>
      </c>
      <c r="Z6" s="17" t="inlineStr">
        <is>
          <t>Nan</t>
        </is>
      </c>
      <c r="AA6" s="17" t="n">
        <v>27.7</v>
      </c>
      <c r="AB6" s="17" t="inlineStr">
        <is>
          <t>Nan</t>
        </is>
      </c>
      <c r="AC6" s="17" t="inlineStr">
        <is>
          <t>Nan</t>
        </is>
      </c>
      <c r="AD6" s="17" t="n">
        <v>140</v>
      </c>
      <c r="AE6" s="18" t="inlineStr">
        <is>
          <t>Nan</t>
        </is>
      </c>
      <c r="AF6" s="17" t="inlineStr">
        <is>
          <t>Nan</t>
        </is>
      </c>
      <c r="AG6" s="17" t="inlineStr">
        <is>
          <t>Nan</t>
        </is>
      </c>
      <c r="AH6" s="17" t="n">
        <v>0.6</v>
      </c>
      <c r="AI6" s="17" t="n">
        <v>2980</v>
      </c>
      <c r="AJ6" s="17" t="n">
        <v>4</v>
      </c>
      <c r="AK6" s="17" t="inlineStr">
        <is>
          <t>Nan</t>
        </is>
      </c>
      <c r="AL6" s="17" t="inlineStr">
        <is>
          <t>Nan</t>
        </is>
      </c>
      <c r="AM6" s="63" t="n">
        <v>1</v>
      </c>
      <c r="AN6" s="63" t="n">
        <v>2</v>
      </c>
      <c r="AO6" s="63" t="n">
        <v>5</v>
      </c>
      <c r="AP6" s="63" t="n">
        <v>0</v>
      </c>
      <c r="AQ6" s="63" t="n">
        <v>1</v>
      </c>
      <c r="AR6" s="63" t="n">
        <v>1</v>
      </c>
      <c r="AS6" s="63" t="n">
        <v>1</v>
      </c>
      <c r="AW6" t="inlineStr">
        <is>
          <t>Autonomia tiempo = alcance / velocidad crucero</t>
        </is>
      </c>
    </row>
    <row r="7" ht="18.75" customHeight="1">
      <c r="A7" s="9" t="inlineStr">
        <is>
          <t>Aerosonde Mk. 4.7 VTOL</t>
        </is>
      </c>
      <c r="B7" s="11" t="inlineStr">
        <is>
          <t>Nan</t>
        </is>
      </c>
      <c r="C7" s="78" t="n">
        <v>5000</v>
      </c>
      <c r="D7" s="79" t="n">
        <v>26.93</v>
      </c>
      <c r="E7" s="10" t="n">
        <v>9700</v>
      </c>
      <c r="F7" s="11" t="inlineStr">
        <is>
          <t>Nan</t>
        </is>
      </c>
      <c r="G7" s="12" t="n">
        <v>1.55</v>
      </c>
      <c r="H7" s="12">
        <f>S7/T7</f>
        <v/>
      </c>
      <c r="I7" s="12" t="n">
        <v>3</v>
      </c>
      <c r="J7" s="13" t="inlineStr">
        <is>
          <t>Nan</t>
        </is>
      </c>
      <c r="K7" s="12" t="n">
        <v>0.277</v>
      </c>
      <c r="L7" s="14" t="n">
        <v>53.5</v>
      </c>
      <c r="M7" s="80" t="n">
        <v>1080</v>
      </c>
      <c r="N7" s="15" t="n">
        <v>12</v>
      </c>
      <c r="O7" s="15" t="n">
        <v>33.43886</v>
      </c>
      <c r="P7" s="16" t="inlineStr">
        <is>
          <t>Nan</t>
        </is>
      </c>
      <c r="Q7" s="16" t="inlineStr">
        <is>
          <t>Nan</t>
        </is>
      </c>
      <c r="R7" s="16" t="inlineStr">
        <is>
          <t>Nan</t>
        </is>
      </c>
      <c r="S7" s="17" t="n">
        <v>4.4</v>
      </c>
      <c r="T7" s="17" t="n">
        <v>0.352</v>
      </c>
      <c r="U7" s="17" t="n">
        <v>11.3</v>
      </c>
      <c r="V7" s="18" t="inlineStr">
        <is>
          <t>Nan</t>
        </is>
      </c>
      <c r="W7" s="17" t="n">
        <v>25</v>
      </c>
      <c r="X7" s="17" t="inlineStr">
        <is>
          <t>Nan</t>
        </is>
      </c>
      <c r="Y7" s="17" t="inlineStr">
        <is>
          <t>Nan</t>
        </is>
      </c>
      <c r="Z7" s="17" t="inlineStr">
        <is>
          <t>Nan</t>
        </is>
      </c>
      <c r="AA7" s="17" t="n">
        <v>42.2</v>
      </c>
      <c r="AB7" s="17" t="inlineStr">
        <is>
          <t>Nan</t>
        </is>
      </c>
      <c r="AC7" s="17" t="inlineStr">
        <is>
          <t>Nan</t>
        </is>
      </c>
      <c r="AD7" s="17" t="n">
        <v>140</v>
      </c>
      <c r="AE7" s="18" t="inlineStr">
        <is>
          <t>Nan</t>
        </is>
      </c>
      <c r="AF7" s="17" t="inlineStr">
        <is>
          <t>Nan</t>
        </is>
      </c>
      <c r="AG7" s="17" t="inlineStr">
        <is>
          <t>Nan</t>
        </is>
      </c>
      <c r="AH7" s="17" t="n">
        <v>0.6</v>
      </c>
      <c r="AI7" s="17" t="n">
        <v>2980</v>
      </c>
      <c r="AJ7" s="17" t="n">
        <v>4</v>
      </c>
      <c r="AK7" s="17" t="inlineStr">
        <is>
          <t>Nan</t>
        </is>
      </c>
      <c r="AL7" s="17" t="inlineStr">
        <is>
          <t>Nan</t>
        </is>
      </c>
      <c r="AM7" s="63" t="n">
        <v>2</v>
      </c>
      <c r="AN7" s="63" t="n">
        <v>2</v>
      </c>
      <c r="AO7" s="63" t="n">
        <v>1</v>
      </c>
      <c r="AP7" s="63" t="n">
        <v>4</v>
      </c>
      <c r="AQ7" s="63" t="n">
        <v>1</v>
      </c>
      <c r="AR7" s="63" t="n">
        <v>1</v>
      </c>
      <c r="AS7" s="63" t="n">
        <v>1</v>
      </c>
      <c r="AW7" t="inlineStr">
        <is>
          <t>velocidad crucero =alcance / autonomia</t>
        </is>
      </c>
    </row>
    <row r="8" ht="18.75" customHeight="1">
      <c r="A8" s="9" t="inlineStr">
        <is>
          <t>Aerosonde Mk. 4.8 Fixed wing</t>
        </is>
      </c>
      <c r="B8" s="11" t="inlineStr">
        <is>
          <t>Nan</t>
        </is>
      </c>
      <c r="C8" s="78" t="n">
        <v>5000</v>
      </c>
      <c r="D8" s="79" t="n">
        <v>26.93</v>
      </c>
      <c r="E8" s="10" t="n">
        <v>18200</v>
      </c>
      <c r="F8" s="11" t="inlineStr">
        <is>
          <t>Nan</t>
        </is>
      </c>
      <c r="G8" s="12" t="n">
        <v>1.55</v>
      </c>
      <c r="H8" s="12">
        <f>S8/T8</f>
        <v/>
      </c>
      <c r="I8" s="12" t="n">
        <v>3</v>
      </c>
      <c r="J8" s="13" t="inlineStr">
        <is>
          <t>Nan</t>
        </is>
      </c>
      <c r="K8" s="12" t="n">
        <v>0.277</v>
      </c>
      <c r="L8" s="14" t="n">
        <v>54.4</v>
      </c>
      <c r="M8" s="80" t="n">
        <v>1782</v>
      </c>
      <c r="N8" s="15" t="n">
        <v>19.8</v>
      </c>
      <c r="O8" s="15" t="n">
        <v>33.43886</v>
      </c>
      <c r="P8" s="16" t="inlineStr">
        <is>
          <t>Nan</t>
        </is>
      </c>
      <c r="Q8" s="16" t="inlineStr">
        <is>
          <t>Nan</t>
        </is>
      </c>
      <c r="R8" s="16" t="inlineStr">
        <is>
          <t>Nan</t>
        </is>
      </c>
      <c r="S8" s="17" t="n">
        <v>4.4</v>
      </c>
      <c r="T8" s="17" t="n">
        <v>0.352</v>
      </c>
      <c r="U8" s="17" t="n">
        <v>17.7</v>
      </c>
      <c r="V8" s="18" t="inlineStr">
        <is>
          <t>Nan</t>
        </is>
      </c>
      <c r="W8" s="17" t="n">
        <v>25</v>
      </c>
      <c r="X8" s="17" t="inlineStr">
        <is>
          <t>Nan</t>
        </is>
      </c>
      <c r="Y8" s="17" t="inlineStr">
        <is>
          <t>Nan</t>
        </is>
      </c>
      <c r="Z8" s="17" t="inlineStr">
        <is>
          <t>Nan</t>
        </is>
      </c>
      <c r="AA8" s="17" t="n">
        <v>36.7</v>
      </c>
      <c r="AB8" s="17" t="inlineStr">
        <is>
          <t>Nan</t>
        </is>
      </c>
      <c r="AC8" s="17" t="inlineStr">
        <is>
          <t>Nan</t>
        </is>
      </c>
      <c r="AD8" s="17" t="n">
        <v>140</v>
      </c>
      <c r="AE8" s="18" t="inlineStr">
        <is>
          <t>Nan</t>
        </is>
      </c>
      <c r="AF8" s="17" t="inlineStr">
        <is>
          <t>Nan</t>
        </is>
      </c>
      <c r="AG8" s="18" t="inlineStr">
        <is>
          <t>Nan</t>
        </is>
      </c>
      <c r="AH8" s="18" t="inlineStr">
        <is>
          <t>Nan</t>
        </is>
      </c>
      <c r="AI8" s="18" t="inlineStr">
        <is>
          <t>Nan</t>
        </is>
      </c>
      <c r="AJ8" s="81" t="n">
        <v>4.81539408241121</v>
      </c>
      <c r="AK8" s="17" t="inlineStr">
        <is>
          <t>Nan</t>
        </is>
      </c>
      <c r="AL8" s="17" t="inlineStr">
        <is>
          <t>Nan</t>
        </is>
      </c>
      <c r="AM8" s="63" t="n">
        <v>1</v>
      </c>
      <c r="AN8" s="63" t="n">
        <v>2</v>
      </c>
      <c r="AO8" s="63" t="n">
        <v>5</v>
      </c>
      <c r="AP8" s="63" t="n">
        <v>0</v>
      </c>
      <c r="AQ8" s="63" t="n">
        <v>1</v>
      </c>
      <c r="AR8" s="63" t="n">
        <v>1</v>
      </c>
      <c r="AS8" s="63" t="n">
        <v>1</v>
      </c>
      <c r="AW8" t="inlineStr">
        <is>
          <t>alcance =tiempo * velocidad crucero</t>
        </is>
      </c>
    </row>
    <row r="9" ht="18.75" customHeight="1">
      <c r="A9" s="9" t="inlineStr">
        <is>
          <t>Aerosonde Mk. 4.8 VTOL FTUAS</t>
        </is>
      </c>
      <c r="B9" s="11" t="inlineStr">
        <is>
          <t>Nan</t>
        </is>
      </c>
      <c r="C9" s="78" t="n">
        <v>5000</v>
      </c>
      <c r="D9" s="10" t="inlineStr">
        <is>
          <t>Nan</t>
        </is>
      </c>
      <c r="E9" s="10" t="n">
        <v>15000</v>
      </c>
      <c r="F9" s="11" t="inlineStr">
        <is>
          <t>Nan</t>
        </is>
      </c>
      <c r="G9" s="13" t="inlineStr">
        <is>
          <t>Nan</t>
        </is>
      </c>
      <c r="H9" s="13" t="n">
        <v>12.5</v>
      </c>
      <c r="I9" s="13" t="inlineStr">
        <is>
          <t>Nan</t>
        </is>
      </c>
      <c r="J9" s="13" t="inlineStr">
        <is>
          <t>Nan</t>
        </is>
      </c>
      <c r="K9" s="13" t="inlineStr">
        <is>
          <t>Nan</t>
        </is>
      </c>
      <c r="L9" s="14" t="n">
        <v>93</v>
      </c>
      <c r="M9" s="16" t="inlineStr">
        <is>
          <t>Nan</t>
        </is>
      </c>
      <c r="N9" s="15" t="n">
        <v>14</v>
      </c>
      <c r="O9" s="16" t="inlineStr">
        <is>
          <t>Nan</t>
        </is>
      </c>
      <c r="P9" s="16" t="inlineStr">
        <is>
          <t>Nan</t>
        </is>
      </c>
      <c r="Q9" s="16" t="inlineStr">
        <is>
          <t>Nan</t>
        </is>
      </c>
      <c r="R9" s="16" t="inlineStr">
        <is>
          <t>Nan</t>
        </is>
      </c>
      <c r="S9" s="18" t="inlineStr">
        <is>
          <t>Nan</t>
        </is>
      </c>
      <c r="T9" s="18" t="inlineStr">
        <is>
          <t>Nan</t>
        </is>
      </c>
      <c r="U9" s="17" t="n">
        <v>22.7</v>
      </c>
      <c r="V9" s="18" t="inlineStr">
        <is>
          <t>Nan</t>
        </is>
      </c>
      <c r="W9" s="18" t="inlineStr">
        <is>
          <t>Nan</t>
        </is>
      </c>
      <c r="X9" s="17" t="inlineStr">
        <is>
          <t>Nan</t>
        </is>
      </c>
      <c r="Y9" s="17" t="inlineStr">
        <is>
          <t>Nan</t>
        </is>
      </c>
      <c r="Z9" s="18" t="inlineStr">
        <is>
          <t>Nan</t>
        </is>
      </c>
      <c r="AA9" s="17" t="n">
        <v>70.3</v>
      </c>
      <c r="AB9" s="17" t="inlineStr">
        <is>
          <t>Nan</t>
        </is>
      </c>
      <c r="AC9" s="17" t="inlineStr">
        <is>
          <t>Nan</t>
        </is>
      </c>
      <c r="AD9" s="18" t="inlineStr">
        <is>
          <t>Nan</t>
        </is>
      </c>
      <c r="AE9" s="18" t="inlineStr">
        <is>
          <t>Nan</t>
        </is>
      </c>
      <c r="AF9" s="17" t="inlineStr">
        <is>
          <t>Nan</t>
        </is>
      </c>
      <c r="AG9" s="18" t="inlineStr">
        <is>
          <t>Nan</t>
        </is>
      </c>
      <c r="AH9" s="18" t="inlineStr">
        <is>
          <t>Nan</t>
        </is>
      </c>
      <c r="AI9" s="18" t="inlineStr">
        <is>
          <t>Nan</t>
        </is>
      </c>
      <c r="AJ9" s="18" t="inlineStr">
        <is>
          <t>Nan</t>
        </is>
      </c>
      <c r="AK9" s="17" t="inlineStr">
        <is>
          <t>Nan</t>
        </is>
      </c>
      <c r="AL9" s="17" t="inlineStr">
        <is>
          <t>Nan</t>
        </is>
      </c>
      <c r="AM9" s="63" t="n">
        <v>2</v>
      </c>
      <c r="AN9" s="63" t="n">
        <v>2</v>
      </c>
      <c r="AO9" s="63" t="n">
        <v>1</v>
      </c>
      <c r="AP9" s="63" t="n">
        <v>4</v>
      </c>
      <c r="AQ9" s="63" t="n">
        <v>1</v>
      </c>
      <c r="AR9" s="63" t="n">
        <v>1</v>
      </c>
      <c r="AS9" s="63" t="n">
        <v>1</v>
      </c>
      <c r="AW9" s="30" t="inlineStr">
        <is>
          <t>velocidad a la que sea realiza el crucero en tas correccion por altura a la que se realiza el crucero, suponer un estnadar si no hay</t>
        </is>
      </c>
    </row>
    <row r="10" ht="18.75" customHeight="1">
      <c r="A10" s="7" t="inlineStr">
        <is>
          <t>AAI Aerosonde</t>
        </is>
      </c>
      <c r="B10" s="11" t="inlineStr">
        <is>
          <t>Nan</t>
        </is>
      </c>
      <c r="C10" s="11" t="n">
        <v>5500</v>
      </c>
      <c r="D10" s="79" t="n">
        <v>37.64</v>
      </c>
      <c r="E10" s="10" t="n">
        <v>15000</v>
      </c>
      <c r="F10" s="11" t="inlineStr">
        <is>
          <t>Nan</t>
        </is>
      </c>
      <c r="G10" s="12" t="n">
        <v>0.57</v>
      </c>
      <c r="H10" s="12">
        <f>S10/T10</f>
        <v/>
      </c>
      <c r="I10" s="12" t="n">
        <v>1.7</v>
      </c>
      <c r="J10" s="13" t="inlineStr">
        <is>
          <t>Nan</t>
        </is>
      </c>
      <c r="K10" s="13" t="inlineStr">
        <is>
          <t>Nan</t>
        </is>
      </c>
      <c r="L10" s="14" t="n">
        <v>13.1</v>
      </c>
      <c r="M10" s="15" t="n">
        <v>3270</v>
      </c>
      <c r="N10" s="15" t="n">
        <v>26</v>
      </c>
      <c r="O10" s="15" t="n">
        <v>30.845724764736</v>
      </c>
      <c r="P10" s="16" t="inlineStr">
        <is>
          <t>Nan</t>
        </is>
      </c>
      <c r="Q10" s="16" t="inlineStr">
        <is>
          <t>Nan</t>
        </is>
      </c>
      <c r="R10" s="16" t="inlineStr">
        <is>
          <t>Nan</t>
        </is>
      </c>
      <c r="S10" s="17" t="n">
        <v>2.9</v>
      </c>
      <c r="T10" s="17">
        <f>G10/S10</f>
        <v/>
      </c>
      <c r="U10" s="18" t="inlineStr">
        <is>
          <t>Nan</t>
        </is>
      </c>
      <c r="V10" s="18" t="inlineStr">
        <is>
          <t>Nan</t>
        </is>
      </c>
      <c r="W10" s="82" t="n">
        <v>34.94</v>
      </c>
      <c r="X10" s="26" t="inlineStr">
        <is>
          <t>Nan</t>
        </is>
      </c>
      <c r="Y10" s="18" t="n">
        <v>10</v>
      </c>
      <c r="Z10" s="18" t="inlineStr">
        <is>
          <t>Nan</t>
        </is>
      </c>
      <c r="AA10" s="17" t="inlineStr">
        <is>
          <t>Nan</t>
        </is>
      </c>
      <c r="AB10" s="17" t="inlineStr">
        <is>
          <t>Nan</t>
        </is>
      </c>
      <c r="AC10" s="17" t="inlineStr">
        <is>
          <t>Nan</t>
        </is>
      </c>
      <c r="AD10" s="20" t="n">
        <v>150</v>
      </c>
      <c r="AE10" s="17" t="n">
        <v>23</v>
      </c>
      <c r="AF10" s="17" t="n">
        <v>98</v>
      </c>
      <c r="AG10" s="17" t="inlineStr">
        <is>
          <t>Nan</t>
        </is>
      </c>
      <c r="AH10" s="17" t="inlineStr">
        <is>
          <t>Nan</t>
        </is>
      </c>
      <c r="AI10" s="17" t="n">
        <v>1280</v>
      </c>
      <c r="AJ10" s="17" t="n">
        <v>1.74</v>
      </c>
      <c r="AK10" s="17" t="inlineStr">
        <is>
          <t>Nan</t>
        </is>
      </c>
      <c r="AL10" s="17" t="inlineStr">
        <is>
          <t>Nan</t>
        </is>
      </c>
      <c r="AM10" s="63" t="n">
        <v>2</v>
      </c>
      <c r="AN10" s="63" t="n">
        <v>2</v>
      </c>
      <c r="AO10" s="63" t="n">
        <v>1</v>
      </c>
      <c r="AP10" s="63" t="n">
        <v>4</v>
      </c>
      <c r="AQ10" s="63" t="n">
        <v>1</v>
      </c>
      <c r="AR10" s="63" t="n">
        <v>1</v>
      </c>
      <c r="AS10" s="63" t="n">
        <v>1</v>
      </c>
      <c r="AW10" t="inlineStr">
        <is>
          <t>area del ala = cuerda * envergadura</t>
        </is>
      </c>
    </row>
    <row r="11" ht="18.75" customHeight="1">
      <c r="A11" s="7" t="inlineStr">
        <is>
          <t>Fulmar X</t>
        </is>
      </c>
      <c r="B11" s="10" t="inlineStr">
        <is>
          <t>Nan</t>
        </is>
      </c>
      <c r="C11" s="78" t="n">
        <v>5000</v>
      </c>
      <c r="D11" s="79" t="n">
        <v>29.95</v>
      </c>
      <c r="E11" s="10" t="n">
        <v>9.842000000000001</v>
      </c>
      <c r="F11" s="10" t="inlineStr">
        <is>
          <t>Nan</t>
        </is>
      </c>
      <c r="G11" s="12" t="inlineStr">
        <is>
          <t>Nan</t>
        </is>
      </c>
      <c r="H11" s="12" t="inlineStr">
        <is>
          <t>Nan</t>
        </is>
      </c>
      <c r="I11" s="12" t="n">
        <v>1.2</v>
      </c>
      <c r="J11" s="12" t="inlineStr">
        <is>
          <t>Nan</t>
        </is>
      </c>
      <c r="K11" s="12" t="inlineStr">
        <is>
          <t>Nan</t>
        </is>
      </c>
      <c r="L11" s="14" t="n">
        <v>20</v>
      </c>
      <c r="M11" s="15" t="n">
        <v>800</v>
      </c>
      <c r="N11" s="15" t="n">
        <v>8</v>
      </c>
      <c r="O11" s="15" t="n">
        <v>41.7</v>
      </c>
      <c r="P11" s="15" t="inlineStr">
        <is>
          <t>Nan</t>
        </is>
      </c>
      <c r="Q11" s="15" t="inlineStr">
        <is>
          <t>Nan</t>
        </is>
      </c>
      <c r="R11" s="15" t="inlineStr">
        <is>
          <t>Nan</t>
        </is>
      </c>
      <c r="S11" s="17" t="n">
        <v>3</v>
      </c>
      <c r="T11" s="17" t="inlineStr">
        <is>
          <t>Nan</t>
        </is>
      </c>
      <c r="U11" s="17" t="inlineStr">
        <is>
          <t>Nan</t>
        </is>
      </c>
      <c r="V11" s="17" t="inlineStr">
        <is>
          <t>Nan</t>
        </is>
      </c>
      <c r="W11" s="17" t="n">
        <v>27.8</v>
      </c>
      <c r="X11" s="17" t="inlineStr">
        <is>
          <t>Nan</t>
        </is>
      </c>
      <c r="Y11" s="17" t="inlineStr">
        <is>
          <t>Nan</t>
        </is>
      </c>
      <c r="Z11" s="17" t="inlineStr">
        <is>
          <t>Nan</t>
        </is>
      </c>
      <c r="AA11" s="17" t="inlineStr">
        <is>
          <t>Nan</t>
        </is>
      </c>
      <c r="AB11" s="17" t="inlineStr">
        <is>
          <t>Nan</t>
        </is>
      </c>
      <c r="AC11" s="17" t="inlineStr">
        <is>
          <t>Nan</t>
        </is>
      </c>
      <c r="AD11" s="17" t="inlineStr">
        <is>
          <t>Nan</t>
        </is>
      </c>
      <c r="AE11" s="17" t="inlineStr">
        <is>
          <t>Nan</t>
        </is>
      </c>
      <c r="AF11" s="17" t="inlineStr">
        <is>
          <t>Nan</t>
        </is>
      </c>
      <c r="AG11" s="17" t="inlineStr">
        <is>
          <t>Nan</t>
        </is>
      </c>
      <c r="AH11" s="17" t="inlineStr">
        <is>
          <t>Nan</t>
        </is>
      </c>
      <c r="AI11" s="17" t="inlineStr">
        <is>
          <t>Nan</t>
        </is>
      </c>
      <c r="AJ11" s="17" t="inlineStr">
        <is>
          <t>Nan</t>
        </is>
      </c>
      <c r="AK11" s="17" t="inlineStr">
        <is>
          <t>Nan</t>
        </is>
      </c>
      <c r="AL11" s="17" t="inlineStr">
        <is>
          <t>Nan</t>
        </is>
      </c>
      <c r="AM11" s="63" t="n">
        <v>1</v>
      </c>
      <c r="AN11" s="63" t="n">
        <v>2</v>
      </c>
      <c r="AO11" s="63" t="n">
        <v>5</v>
      </c>
      <c r="AP11" s="63" t="n">
        <v>0</v>
      </c>
      <c r="AQ11" s="63" t="n">
        <v>1</v>
      </c>
      <c r="AR11" s="63" t="n">
        <v>1</v>
      </c>
      <c r="AS11" s="63" t="n">
        <v>1</v>
      </c>
    </row>
    <row r="12" ht="18.75" customHeight="1">
      <c r="A12" s="7" t="inlineStr">
        <is>
          <t>Orbiter 4</t>
        </is>
      </c>
      <c r="B12" s="10" t="inlineStr">
        <is>
          <t>Nan</t>
        </is>
      </c>
      <c r="C12" s="78" t="n">
        <v>5000</v>
      </c>
      <c r="D12" s="10" t="inlineStr">
        <is>
          <t>Nan</t>
        </is>
      </c>
      <c r="E12" s="21" t="inlineStr">
        <is>
          <t>Nan</t>
        </is>
      </c>
      <c r="F12" s="10" t="inlineStr">
        <is>
          <t>Nan</t>
        </is>
      </c>
      <c r="G12" s="12" t="inlineStr">
        <is>
          <t>Nan</t>
        </is>
      </c>
      <c r="H12" s="12" t="inlineStr">
        <is>
          <t>Nan</t>
        </is>
      </c>
      <c r="I12" s="12" t="n">
        <v>1.2</v>
      </c>
      <c r="J12" s="12" t="inlineStr">
        <is>
          <t>Nan</t>
        </is>
      </c>
      <c r="K12" s="12" t="inlineStr">
        <is>
          <t>Nan</t>
        </is>
      </c>
      <c r="L12" s="14" t="n">
        <v>55</v>
      </c>
      <c r="M12" s="15" t="inlineStr">
        <is>
          <t>Nan</t>
        </is>
      </c>
      <c r="N12" s="15" t="n">
        <v>24</v>
      </c>
      <c r="O12" s="15" t="n">
        <v>36</v>
      </c>
      <c r="P12" s="15" t="inlineStr">
        <is>
          <t>Nan</t>
        </is>
      </c>
      <c r="Q12" s="15" t="inlineStr">
        <is>
          <t>Nan</t>
        </is>
      </c>
      <c r="R12" s="15" t="inlineStr">
        <is>
          <t>Nan</t>
        </is>
      </c>
      <c r="S12" s="17" t="n">
        <v>5.2</v>
      </c>
      <c r="T12" s="17" t="inlineStr">
        <is>
          <t>Nan</t>
        </is>
      </c>
      <c r="U12" s="17" t="n">
        <v>12</v>
      </c>
      <c r="V12" s="17" t="inlineStr">
        <is>
          <t>Nan</t>
        </is>
      </c>
      <c r="W12" s="17" t="inlineStr">
        <is>
          <t>Nan</t>
        </is>
      </c>
      <c r="X12" s="17" t="inlineStr">
        <is>
          <t>Nan</t>
        </is>
      </c>
      <c r="Y12" s="17" t="inlineStr">
        <is>
          <t>Nan</t>
        </is>
      </c>
      <c r="Z12" s="17" t="inlineStr">
        <is>
          <t>Nan</t>
        </is>
      </c>
      <c r="AA12" s="83" t="n">
        <v>43</v>
      </c>
      <c r="AB12" s="17" t="inlineStr">
        <is>
          <t>Nan</t>
        </is>
      </c>
      <c r="AC12" s="17" t="inlineStr">
        <is>
          <t>Nan</t>
        </is>
      </c>
      <c r="AD12" s="17" t="n">
        <v>150</v>
      </c>
      <c r="AE12" s="17" t="inlineStr">
        <is>
          <t>Nan</t>
        </is>
      </c>
      <c r="AF12" s="17" t="inlineStr">
        <is>
          <t>Nan</t>
        </is>
      </c>
      <c r="AG12" s="17" t="inlineStr">
        <is>
          <t>Nan</t>
        </is>
      </c>
      <c r="AH12" s="17" t="inlineStr">
        <is>
          <t>Nan</t>
        </is>
      </c>
      <c r="AI12" s="17" t="inlineStr">
        <is>
          <t>Nan</t>
        </is>
      </c>
      <c r="AJ12" s="17" t="inlineStr">
        <is>
          <t>Nan</t>
        </is>
      </c>
      <c r="AK12" s="17" t="inlineStr">
        <is>
          <t>Nan</t>
        </is>
      </c>
      <c r="AL12" s="17" t="inlineStr">
        <is>
          <t>Nan</t>
        </is>
      </c>
      <c r="AM12" s="63" t="n">
        <v>1</v>
      </c>
      <c r="AN12" s="63" t="n">
        <v>2</v>
      </c>
      <c r="AO12" s="63" t="n">
        <v>5</v>
      </c>
      <c r="AP12" s="63" t="n">
        <v>0</v>
      </c>
      <c r="AQ12" s="63" t="n">
        <v>1</v>
      </c>
      <c r="AR12" s="63" t="n">
        <v>1</v>
      </c>
      <c r="AS12" s="63" t="n">
        <v>1</v>
      </c>
    </row>
    <row r="13" ht="18.75" customHeight="1">
      <c r="A13" s="7" t="inlineStr">
        <is>
          <t>Orbiter 3</t>
        </is>
      </c>
      <c r="B13" s="10" t="inlineStr">
        <is>
          <t>Nan</t>
        </is>
      </c>
      <c r="C13" s="78" t="n">
        <v>5000</v>
      </c>
      <c r="D13" s="84" t="n">
        <v>26.429370219464</v>
      </c>
      <c r="E13" s="10" t="inlineStr">
        <is>
          <t>Nan</t>
        </is>
      </c>
      <c r="F13" s="10" t="inlineStr">
        <is>
          <t>Nan</t>
        </is>
      </c>
      <c r="G13" s="12" t="inlineStr">
        <is>
          <t>Nan</t>
        </is>
      </c>
      <c r="H13" s="12" t="inlineStr">
        <is>
          <t>Nan</t>
        </is>
      </c>
      <c r="I13" s="12" t="n">
        <v>1.2</v>
      </c>
      <c r="J13" s="12" t="inlineStr">
        <is>
          <t>Nan</t>
        </is>
      </c>
      <c r="K13" s="12" t="inlineStr">
        <is>
          <t>Nan</t>
        </is>
      </c>
      <c r="L13" s="14" t="n">
        <v>32</v>
      </c>
      <c r="M13" s="84" t="n">
        <v>514.5694340829159</v>
      </c>
      <c r="N13" s="15" t="n">
        <v>6</v>
      </c>
      <c r="O13" s="15" t="n">
        <v>36</v>
      </c>
      <c r="P13" s="15" t="inlineStr">
        <is>
          <t>Nan</t>
        </is>
      </c>
      <c r="Q13" s="15" t="inlineStr">
        <is>
          <t>Nan</t>
        </is>
      </c>
      <c r="R13" s="15" t="inlineStr">
        <is>
          <t>Nan</t>
        </is>
      </c>
      <c r="S13" s="17" t="n">
        <v>4.4</v>
      </c>
      <c r="T13" s="17" t="inlineStr">
        <is>
          <t>Nan</t>
        </is>
      </c>
      <c r="U13" s="17" t="n">
        <v>5.5</v>
      </c>
      <c r="V13" s="17" t="inlineStr">
        <is>
          <t>Nan</t>
        </is>
      </c>
      <c r="W13" s="17" t="inlineStr">
        <is>
          <t>Nan</t>
        </is>
      </c>
      <c r="X13" s="17" t="inlineStr">
        <is>
          <t>Nan</t>
        </is>
      </c>
      <c r="Y13" s="17" t="inlineStr">
        <is>
          <t>Nan</t>
        </is>
      </c>
      <c r="Z13" s="17" t="inlineStr">
        <is>
          <t>Nan</t>
        </is>
      </c>
      <c r="AA13" s="83" t="n">
        <v>26.5</v>
      </c>
      <c r="AB13" s="17" t="inlineStr">
        <is>
          <t>Nan</t>
        </is>
      </c>
      <c r="AC13" s="17" t="inlineStr">
        <is>
          <t>Nan</t>
        </is>
      </c>
      <c r="AD13" s="17" t="n">
        <v>50</v>
      </c>
      <c r="AE13" s="17" t="inlineStr">
        <is>
          <t>Nan</t>
        </is>
      </c>
      <c r="AF13" s="17" t="inlineStr">
        <is>
          <t>Nan</t>
        </is>
      </c>
      <c r="AG13" s="17" t="inlineStr">
        <is>
          <t>Nan</t>
        </is>
      </c>
      <c r="AH13" s="17" t="inlineStr">
        <is>
          <t>Nan</t>
        </is>
      </c>
      <c r="AI13" s="17" t="inlineStr">
        <is>
          <t>Nan</t>
        </is>
      </c>
      <c r="AJ13" s="17" t="inlineStr">
        <is>
          <t>Nan</t>
        </is>
      </c>
      <c r="AK13" s="17" t="inlineStr">
        <is>
          <t>Nan</t>
        </is>
      </c>
      <c r="AL13" s="17" t="inlineStr">
        <is>
          <t>Nan</t>
        </is>
      </c>
      <c r="AM13" s="63" t="n">
        <v>1</v>
      </c>
      <c r="AN13" s="63" t="n">
        <v>1</v>
      </c>
      <c r="AO13" s="63" t="n">
        <v>5</v>
      </c>
      <c r="AP13" s="63" t="n">
        <v>0</v>
      </c>
      <c r="AQ13" s="63" t="n">
        <v>1</v>
      </c>
      <c r="AR13" s="63" t="n">
        <v>1</v>
      </c>
      <c r="AS13" s="63" t="n">
        <v>1</v>
      </c>
    </row>
    <row r="14" ht="18.75" customHeight="1">
      <c r="A14" s="7" t="inlineStr">
        <is>
          <t>Mantis</t>
        </is>
      </c>
      <c r="B14" s="10" t="inlineStr">
        <is>
          <t>Nan</t>
        </is>
      </c>
      <c r="C14" s="78" t="n">
        <v>5000</v>
      </c>
      <c r="D14" s="79" t="n">
        <v>17.99</v>
      </c>
      <c r="E14" s="22" t="inlineStr">
        <is>
          <t>Nan</t>
        </is>
      </c>
      <c r="F14" s="22" t="inlineStr">
        <is>
          <t>Nan</t>
        </is>
      </c>
      <c r="G14" s="23" t="inlineStr">
        <is>
          <t>Nan</t>
        </is>
      </c>
      <c r="H14" s="23" t="inlineStr">
        <is>
          <t>Nan</t>
        </is>
      </c>
      <c r="I14" s="23" t="n">
        <v>1.48</v>
      </c>
      <c r="J14" s="23" t="inlineStr">
        <is>
          <t>Nan</t>
        </is>
      </c>
      <c r="K14" s="23" t="inlineStr">
        <is>
          <t>Nan</t>
        </is>
      </c>
      <c r="L14" s="24" t="n">
        <v>6.5</v>
      </c>
      <c r="M14" s="25" t="n">
        <v>25</v>
      </c>
      <c r="N14" s="25" t="n">
        <v>2</v>
      </c>
      <c r="O14" s="25" t="n">
        <v>25.6</v>
      </c>
      <c r="P14" s="25" t="inlineStr">
        <is>
          <t>Nan</t>
        </is>
      </c>
      <c r="Q14" s="25" t="inlineStr">
        <is>
          <t>Nan</t>
        </is>
      </c>
      <c r="R14" s="25" t="inlineStr">
        <is>
          <t>Nan</t>
        </is>
      </c>
      <c r="S14" s="26" t="n">
        <v>2.1</v>
      </c>
      <c r="T14" s="26" t="inlineStr">
        <is>
          <t>Nan</t>
        </is>
      </c>
      <c r="U14" s="26" t="inlineStr">
        <is>
          <t>Nan</t>
        </is>
      </c>
      <c r="V14" s="26" t="inlineStr">
        <is>
          <t>Nan</t>
        </is>
      </c>
      <c r="W14" s="26" t="n">
        <v>16.7</v>
      </c>
      <c r="X14" s="17" t="inlineStr">
        <is>
          <t>Nan</t>
        </is>
      </c>
      <c r="Y14" s="26" t="inlineStr">
        <is>
          <t>Nan</t>
        </is>
      </c>
      <c r="Z14" s="26" t="inlineStr">
        <is>
          <t>Nan</t>
        </is>
      </c>
      <c r="AA14" s="17" t="inlineStr">
        <is>
          <t>Nan</t>
        </is>
      </c>
      <c r="AB14" s="17" t="inlineStr">
        <is>
          <t>Nan</t>
        </is>
      </c>
      <c r="AC14" s="26" t="inlineStr">
        <is>
          <t>Nan</t>
        </is>
      </c>
      <c r="AD14" s="26" t="n">
        <v>25</v>
      </c>
      <c r="AE14" s="26" t="inlineStr">
        <is>
          <t>Nan</t>
        </is>
      </c>
      <c r="AF14" s="26" t="inlineStr">
        <is>
          <t>Nan</t>
        </is>
      </c>
      <c r="AG14" s="26" t="inlineStr">
        <is>
          <t>Nan</t>
        </is>
      </c>
      <c r="AH14" s="26" t="inlineStr">
        <is>
          <t>Nan</t>
        </is>
      </c>
      <c r="AI14" s="17" t="inlineStr">
        <is>
          <t>Nan</t>
        </is>
      </c>
      <c r="AJ14" s="17" t="inlineStr">
        <is>
          <t>Nan</t>
        </is>
      </c>
      <c r="AK14" s="17" t="inlineStr">
        <is>
          <t>Nan</t>
        </is>
      </c>
      <c r="AL14" s="17" t="inlineStr">
        <is>
          <t>Nan</t>
        </is>
      </c>
      <c r="AM14" s="63" t="n">
        <v>1</v>
      </c>
      <c r="AN14" s="63" t="n">
        <v>1</v>
      </c>
      <c r="AO14" s="63" t="n">
        <v>5</v>
      </c>
      <c r="AP14" s="63" t="n">
        <v>0</v>
      </c>
      <c r="AQ14" s="63" t="n">
        <v>1</v>
      </c>
      <c r="AR14" s="63" t="n">
        <v>1</v>
      </c>
      <c r="AS14" s="63" t="n">
        <v>1</v>
      </c>
    </row>
    <row r="15" ht="18.75" customHeight="1">
      <c r="A15" s="7" t="inlineStr">
        <is>
          <t>ScanEagle</t>
        </is>
      </c>
      <c r="B15" s="10" t="inlineStr">
        <is>
          <t>Nan</t>
        </is>
      </c>
      <c r="C15" s="78" t="n">
        <v>5000</v>
      </c>
      <c r="D15" s="79" t="n">
        <v>30.16</v>
      </c>
      <c r="E15" s="10" t="n">
        <v>19500</v>
      </c>
      <c r="F15" s="10" t="inlineStr">
        <is>
          <t>Nan</t>
        </is>
      </c>
      <c r="G15" s="12" t="inlineStr">
        <is>
          <t>Nan</t>
        </is>
      </c>
      <c r="H15" s="12" t="inlineStr">
        <is>
          <t>Nan</t>
        </is>
      </c>
      <c r="I15" s="12" t="n">
        <v>1.71</v>
      </c>
      <c r="J15" s="12" t="inlineStr">
        <is>
          <t>Nan</t>
        </is>
      </c>
      <c r="K15" s="12" t="inlineStr">
        <is>
          <t>Nan</t>
        </is>
      </c>
      <c r="L15" s="14" t="n">
        <v>26.5</v>
      </c>
      <c r="M15" s="85" t="n">
        <v>1814.4</v>
      </c>
      <c r="N15" s="15" t="n">
        <v>18</v>
      </c>
      <c r="O15" s="15" t="n">
        <v>41.2</v>
      </c>
      <c r="P15" s="15" t="inlineStr">
        <is>
          <t>Nan</t>
        </is>
      </c>
      <c r="Q15" s="15" t="inlineStr">
        <is>
          <t>Nan</t>
        </is>
      </c>
      <c r="R15" s="15" t="inlineStr">
        <is>
          <t>Nan</t>
        </is>
      </c>
      <c r="S15" s="17" t="n">
        <v>3.1</v>
      </c>
      <c r="T15" s="17" t="inlineStr">
        <is>
          <t>Nan</t>
        </is>
      </c>
      <c r="U15" s="17" t="n">
        <v>5</v>
      </c>
      <c r="V15" s="17" t="inlineStr">
        <is>
          <t>Nan</t>
        </is>
      </c>
      <c r="W15" s="17" t="n">
        <v>28</v>
      </c>
      <c r="X15" s="17" t="inlineStr">
        <is>
          <t>Nan</t>
        </is>
      </c>
      <c r="Y15" s="17" t="inlineStr">
        <is>
          <t>Nan</t>
        </is>
      </c>
      <c r="Z15" s="17" t="inlineStr">
        <is>
          <t>Nan</t>
        </is>
      </c>
      <c r="AA15" s="83" t="n">
        <v>21.5</v>
      </c>
      <c r="AB15" s="17" t="inlineStr">
        <is>
          <t>Nan</t>
        </is>
      </c>
      <c r="AC15" s="17" t="inlineStr">
        <is>
          <t>Nan</t>
        </is>
      </c>
      <c r="AD15" s="17" t="n">
        <v>101.86</v>
      </c>
      <c r="AE15" s="17" t="inlineStr">
        <is>
          <t>Nan</t>
        </is>
      </c>
      <c r="AF15" s="17" t="inlineStr">
        <is>
          <t>Nan</t>
        </is>
      </c>
      <c r="AG15" s="17" t="inlineStr">
        <is>
          <t>Nan</t>
        </is>
      </c>
      <c r="AH15" s="17" t="inlineStr">
        <is>
          <t>Nan</t>
        </is>
      </c>
      <c r="AI15" s="17" t="inlineStr">
        <is>
          <t>Nan</t>
        </is>
      </c>
      <c r="AJ15" s="17" t="inlineStr">
        <is>
          <t>Nan</t>
        </is>
      </c>
      <c r="AK15" s="17" t="inlineStr">
        <is>
          <t>Nan</t>
        </is>
      </c>
      <c r="AL15" s="17" t="inlineStr">
        <is>
          <t>Nan</t>
        </is>
      </c>
      <c r="AM15" s="63" t="n">
        <v>1</v>
      </c>
      <c r="AN15" s="63" t="n">
        <v>2</v>
      </c>
      <c r="AO15" s="63" t="n">
        <v>5</v>
      </c>
      <c r="AP15" s="63" t="n">
        <v>0</v>
      </c>
      <c r="AQ15" s="63" t="n">
        <v>1</v>
      </c>
      <c r="AR15" s="63" t="n">
        <v>1</v>
      </c>
      <c r="AS15" s="63" t="n">
        <v>1</v>
      </c>
    </row>
    <row r="16" ht="18.75" customHeight="1">
      <c r="A16" s="7" t="inlineStr">
        <is>
          <t>Integrator</t>
        </is>
      </c>
      <c r="B16" s="10" t="inlineStr">
        <is>
          <t>Nan</t>
        </is>
      </c>
      <c r="C16" s="78" t="n">
        <v>5000</v>
      </c>
      <c r="D16" s="79" t="n">
        <v>30.49</v>
      </c>
      <c r="E16" s="10" t="n">
        <v>19500</v>
      </c>
      <c r="F16" s="10" t="inlineStr">
        <is>
          <t>Nan</t>
        </is>
      </c>
      <c r="G16" s="12" t="inlineStr">
        <is>
          <t>Nan</t>
        </is>
      </c>
      <c r="H16" s="12" t="inlineStr">
        <is>
          <t>Nan</t>
        </is>
      </c>
      <c r="I16" s="12" t="n">
        <v>2.5</v>
      </c>
      <c r="J16" s="12" t="inlineStr">
        <is>
          <t>Nan</t>
        </is>
      </c>
      <c r="K16" s="12" t="inlineStr">
        <is>
          <t>Nan</t>
        </is>
      </c>
      <c r="L16" s="14" t="n">
        <v>74.8</v>
      </c>
      <c r="M16" s="85" t="n">
        <v>2445.12</v>
      </c>
      <c r="N16" s="15" t="n">
        <v>24</v>
      </c>
      <c r="O16" s="15" t="n">
        <v>46.3</v>
      </c>
      <c r="P16" s="15" t="inlineStr">
        <is>
          <t>Nan</t>
        </is>
      </c>
      <c r="Q16" s="15" t="inlineStr">
        <is>
          <t>Nan</t>
        </is>
      </c>
      <c r="R16" s="15" t="inlineStr">
        <is>
          <t>Nan</t>
        </is>
      </c>
      <c r="S16" s="17" t="n">
        <v>4.8</v>
      </c>
      <c r="T16" s="17" t="inlineStr">
        <is>
          <t>Nan</t>
        </is>
      </c>
      <c r="U16" s="17" t="n">
        <v>18</v>
      </c>
      <c r="V16" s="17" t="inlineStr">
        <is>
          <t>Nan</t>
        </is>
      </c>
      <c r="W16" s="17" t="n">
        <v>28.3</v>
      </c>
      <c r="X16" s="17" t="inlineStr">
        <is>
          <t>Nan</t>
        </is>
      </c>
      <c r="Y16" s="17" t="inlineStr">
        <is>
          <t>Nan</t>
        </is>
      </c>
      <c r="Z16" s="17" t="inlineStr">
        <is>
          <t>Nan</t>
        </is>
      </c>
      <c r="AA16" s="83" t="n">
        <v>56.8</v>
      </c>
      <c r="AB16" s="17" t="inlineStr">
        <is>
          <t>Nan</t>
        </is>
      </c>
      <c r="AC16" s="17" t="inlineStr">
        <is>
          <t>Nan</t>
        </is>
      </c>
      <c r="AD16" s="17" t="n">
        <v>92.59999999999999</v>
      </c>
      <c r="AE16" s="17" t="inlineStr">
        <is>
          <t>Nan</t>
        </is>
      </c>
      <c r="AF16" s="17" t="inlineStr">
        <is>
          <t>Nan</t>
        </is>
      </c>
      <c r="AG16" s="17" t="inlineStr">
        <is>
          <t>Nan</t>
        </is>
      </c>
      <c r="AH16" s="17" t="inlineStr">
        <is>
          <t>Nan</t>
        </is>
      </c>
      <c r="AI16" s="17" t="inlineStr">
        <is>
          <t>Nan</t>
        </is>
      </c>
      <c r="AJ16" s="17" t="inlineStr">
        <is>
          <t>Nan</t>
        </is>
      </c>
      <c r="AK16" s="17" t="inlineStr">
        <is>
          <t>Nan</t>
        </is>
      </c>
      <c r="AL16" s="17" t="inlineStr">
        <is>
          <t>Nan</t>
        </is>
      </c>
      <c r="AM16" s="63" t="n">
        <v>1</v>
      </c>
      <c r="AN16" s="63" t="n">
        <v>2</v>
      </c>
      <c r="AO16" s="63" t="n">
        <v>5</v>
      </c>
      <c r="AP16" s="63" t="n">
        <v>0</v>
      </c>
      <c r="AQ16" s="63" t="n">
        <v>1</v>
      </c>
      <c r="AR16" s="63" t="n">
        <v>1</v>
      </c>
      <c r="AS16" s="63" t="n">
        <v>1</v>
      </c>
    </row>
    <row r="17" ht="18.75" customHeight="1">
      <c r="A17" s="7" t="inlineStr">
        <is>
          <t>Integrator VTOL</t>
        </is>
      </c>
      <c r="B17" s="11" t="inlineStr">
        <is>
          <t>Nan</t>
        </is>
      </c>
      <c r="C17" s="10" t="n">
        <v>5000</v>
      </c>
      <c r="D17" s="10" t="inlineStr">
        <is>
          <t>Nan</t>
        </is>
      </c>
      <c r="E17" s="10" t="inlineStr">
        <is>
          <t>Nan</t>
        </is>
      </c>
      <c r="F17" s="10" t="inlineStr">
        <is>
          <t>Nan</t>
        </is>
      </c>
      <c r="G17" s="12" t="inlineStr">
        <is>
          <t>Nan</t>
        </is>
      </c>
      <c r="H17" s="12" t="inlineStr">
        <is>
          <t>Nan</t>
        </is>
      </c>
      <c r="I17" s="12" t="inlineStr">
        <is>
          <t>Nan</t>
        </is>
      </c>
      <c r="J17" s="12" t="inlineStr">
        <is>
          <t>Nan</t>
        </is>
      </c>
      <c r="K17" s="12" t="inlineStr">
        <is>
          <t>Nan</t>
        </is>
      </c>
      <c r="L17" s="14" t="n">
        <v>75</v>
      </c>
      <c r="M17" s="15" t="inlineStr">
        <is>
          <t>Nan</t>
        </is>
      </c>
      <c r="N17" s="15" t="n">
        <v>16</v>
      </c>
      <c r="O17" s="15" t="inlineStr">
        <is>
          <t>Nan</t>
        </is>
      </c>
      <c r="P17" s="15" t="inlineStr">
        <is>
          <t>Nan</t>
        </is>
      </c>
      <c r="Q17" s="15" t="inlineStr">
        <is>
          <t>Nan</t>
        </is>
      </c>
      <c r="R17" s="15" t="inlineStr">
        <is>
          <t>Nan</t>
        </is>
      </c>
      <c r="S17" s="17" t="inlineStr">
        <is>
          <t>Nan</t>
        </is>
      </c>
      <c r="T17" s="17" t="inlineStr">
        <is>
          <t>Nan</t>
        </is>
      </c>
      <c r="U17" s="17" t="n">
        <v>18</v>
      </c>
      <c r="V17" s="17" t="inlineStr">
        <is>
          <t>Nan</t>
        </is>
      </c>
      <c r="W17" s="17" t="inlineStr">
        <is>
          <t>Nan</t>
        </is>
      </c>
      <c r="X17" s="17" t="inlineStr">
        <is>
          <t>Nan</t>
        </is>
      </c>
      <c r="Y17" s="17" t="inlineStr">
        <is>
          <t>Nan</t>
        </is>
      </c>
      <c r="Z17" s="17" t="inlineStr">
        <is>
          <t>Nan</t>
        </is>
      </c>
      <c r="AA17" s="83" t="n">
        <v>57</v>
      </c>
      <c r="AB17" s="17" t="inlineStr">
        <is>
          <t>Nan</t>
        </is>
      </c>
      <c r="AC17" s="17" t="n">
        <v>30</v>
      </c>
      <c r="AD17" s="17" t="inlineStr">
        <is>
          <t>Nan</t>
        </is>
      </c>
      <c r="AE17" s="17" t="inlineStr">
        <is>
          <t>Nan</t>
        </is>
      </c>
      <c r="AF17" s="17" t="inlineStr">
        <is>
          <t>Nan</t>
        </is>
      </c>
      <c r="AG17" s="17" t="inlineStr">
        <is>
          <t>Nan</t>
        </is>
      </c>
      <c r="AH17" s="17" t="inlineStr">
        <is>
          <t>Nan</t>
        </is>
      </c>
      <c r="AI17" s="17" t="inlineStr">
        <is>
          <t>Nan</t>
        </is>
      </c>
      <c r="AJ17" s="17" t="inlineStr">
        <is>
          <t>Nan</t>
        </is>
      </c>
      <c r="AK17" s="17" t="inlineStr">
        <is>
          <t>Nan</t>
        </is>
      </c>
      <c r="AL17" s="17" t="inlineStr">
        <is>
          <t>Nan</t>
        </is>
      </c>
      <c r="AM17" s="63" t="n">
        <v>2</v>
      </c>
      <c r="AN17" s="63" t="n">
        <v>2</v>
      </c>
      <c r="AO17" s="63" t="n">
        <v>1</v>
      </c>
      <c r="AP17" s="63" t="n">
        <v>4</v>
      </c>
      <c r="AQ17" s="63" t="n">
        <v>1</v>
      </c>
      <c r="AR17" s="63" t="n">
        <v>1</v>
      </c>
      <c r="AS17" s="63" t="n">
        <v>1</v>
      </c>
    </row>
    <row r="18" ht="18.75" customHeight="1">
      <c r="A18" s="7" t="inlineStr">
        <is>
          <t>Integrator Extended Range</t>
        </is>
      </c>
      <c r="B18" s="10" t="inlineStr">
        <is>
          <t>Nan</t>
        </is>
      </c>
      <c r="C18" s="78" t="n">
        <v>5000</v>
      </c>
      <c r="D18" s="79" t="n">
        <v>7.87</v>
      </c>
      <c r="E18" s="10" t="n">
        <v>19500</v>
      </c>
      <c r="F18" s="10" t="inlineStr">
        <is>
          <t>Nan</t>
        </is>
      </c>
      <c r="G18" s="12" t="inlineStr">
        <is>
          <t>Nan</t>
        </is>
      </c>
      <c r="H18" s="27" t="inlineStr">
        <is>
          <t>Nan</t>
        </is>
      </c>
      <c r="I18" s="12" t="n">
        <v>2.5</v>
      </c>
      <c r="J18" s="12" t="inlineStr">
        <is>
          <t>Nan</t>
        </is>
      </c>
      <c r="K18" s="12" t="inlineStr">
        <is>
          <t>Nan</t>
        </is>
      </c>
      <c r="L18" s="14" t="n">
        <v>74.8</v>
      </c>
      <c r="M18" s="15" t="n">
        <v>500</v>
      </c>
      <c r="N18" s="15" t="n">
        <v>19</v>
      </c>
      <c r="O18" s="15" t="n">
        <v>46.3</v>
      </c>
      <c r="P18" s="15" t="inlineStr">
        <is>
          <t>Nan</t>
        </is>
      </c>
      <c r="Q18" s="15" t="inlineStr">
        <is>
          <t>Nan</t>
        </is>
      </c>
      <c r="R18" s="15" t="inlineStr">
        <is>
          <t>Nan</t>
        </is>
      </c>
      <c r="S18" s="17" t="n">
        <v>4.8</v>
      </c>
      <c r="T18" s="17" t="inlineStr">
        <is>
          <t>Nan</t>
        </is>
      </c>
      <c r="U18" s="17" t="n">
        <v>18</v>
      </c>
      <c r="V18" s="17" t="inlineStr">
        <is>
          <t>Nan</t>
        </is>
      </c>
      <c r="W18" s="83" t="n">
        <v>7.31</v>
      </c>
      <c r="X18" s="17" t="inlineStr">
        <is>
          <t>Nan</t>
        </is>
      </c>
      <c r="Y18" s="17" t="inlineStr">
        <is>
          <t>Nan</t>
        </is>
      </c>
      <c r="Z18" s="17" t="inlineStr">
        <is>
          <t>Nan</t>
        </is>
      </c>
      <c r="AA18" s="83" t="n">
        <v>56.8</v>
      </c>
      <c r="AB18" s="17" t="inlineStr">
        <is>
          <t>Nan</t>
        </is>
      </c>
      <c r="AC18" s="17" t="inlineStr">
        <is>
          <t>Nan</t>
        </is>
      </c>
      <c r="AD18" s="17" t="inlineStr">
        <is>
          <t>Nan</t>
        </is>
      </c>
      <c r="AE18" s="17" t="inlineStr">
        <is>
          <t>Nan</t>
        </is>
      </c>
      <c r="AF18" s="17" t="inlineStr">
        <is>
          <t>Nan</t>
        </is>
      </c>
      <c r="AG18" s="17" t="inlineStr">
        <is>
          <t>Nan</t>
        </is>
      </c>
      <c r="AH18" s="17" t="inlineStr">
        <is>
          <t>Nan</t>
        </is>
      </c>
      <c r="AI18" s="17" t="inlineStr">
        <is>
          <t>Nan</t>
        </is>
      </c>
      <c r="AJ18" s="17" t="inlineStr">
        <is>
          <t>Nan</t>
        </is>
      </c>
      <c r="AK18" s="17" t="inlineStr">
        <is>
          <t>Nan</t>
        </is>
      </c>
      <c r="AL18" s="17" t="inlineStr">
        <is>
          <t>Nan</t>
        </is>
      </c>
      <c r="AM18" s="63" t="n">
        <v>1</v>
      </c>
      <c r="AN18" s="63" t="n">
        <v>2</v>
      </c>
      <c r="AO18" s="63" t="n">
        <v>5</v>
      </c>
      <c r="AP18" s="63" t="n">
        <v>0</v>
      </c>
      <c r="AQ18" s="63" t="n">
        <v>1</v>
      </c>
      <c r="AR18" s="63" t="n">
        <v>1</v>
      </c>
      <c r="AS18" s="63" t="n">
        <v>1</v>
      </c>
    </row>
    <row r="19" ht="18.75" customHeight="1">
      <c r="A19" s="7" t="inlineStr">
        <is>
          <t>ScanEagle 3</t>
        </is>
      </c>
      <c r="B19" s="10" t="inlineStr">
        <is>
          <t>Nan</t>
        </is>
      </c>
      <c r="C19" s="78" t="n">
        <v>5000</v>
      </c>
      <c r="D19" s="79" t="n">
        <v>25.32</v>
      </c>
      <c r="E19" s="10" t="n">
        <v>20</v>
      </c>
      <c r="F19" s="10" t="inlineStr">
        <is>
          <t>Nan</t>
        </is>
      </c>
      <c r="G19" s="12" t="inlineStr">
        <is>
          <t>Nan</t>
        </is>
      </c>
      <c r="H19" s="12" t="inlineStr">
        <is>
          <t>Nan</t>
        </is>
      </c>
      <c r="I19" s="12" t="n">
        <v>2.4</v>
      </c>
      <c r="J19" s="12" t="inlineStr">
        <is>
          <t>Nan</t>
        </is>
      </c>
      <c r="K19" s="12" t="inlineStr">
        <is>
          <t>Nan</t>
        </is>
      </c>
      <c r="L19" s="14" t="n">
        <v>36.3</v>
      </c>
      <c r="M19" s="85" t="n">
        <v>1522.8</v>
      </c>
      <c r="N19" s="15" t="n">
        <v>18</v>
      </c>
      <c r="O19" s="15" t="n">
        <v>41.2</v>
      </c>
      <c r="P19" s="15" t="inlineStr">
        <is>
          <t>Nan</t>
        </is>
      </c>
      <c r="Q19" s="15" t="inlineStr">
        <is>
          <t>Nan</t>
        </is>
      </c>
      <c r="R19" s="15" t="inlineStr">
        <is>
          <t>Nan</t>
        </is>
      </c>
      <c r="S19" s="17" t="n">
        <v>4</v>
      </c>
      <c r="T19" s="17" t="inlineStr">
        <is>
          <t>Nan</t>
        </is>
      </c>
      <c r="U19" s="17" t="n">
        <v>8.6</v>
      </c>
      <c r="V19" s="17" t="inlineStr">
        <is>
          <t>Nan</t>
        </is>
      </c>
      <c r="W19" s="17" t="n">
        <v>23.5</v>
      </c>
      <c r="X19" s="17" t="inlineStr">
        <is>
          <t>Nan</t>
        </is>
      </c>
      <c r="Y19" s="17" t="inlineStr">
        <is>
          <t>Nan</t>
        </is>
      </c>
      <c r="Z19" s="17" t="inlineStr">
        <is>
          <t>Nan</t>
        </is>
      </c>
      <c r="AA19" s="83" t="n">
        <v>27.7</v>
      </c>
      <c r="AB19" s="17" t="inlineStr">
        <is>
          <t>Nan</t>
        </is>
      </c>
      <c r="AC19" s="17" t="inlineStr">
        <is>
          <t>Nan</t>
        </is>
      </c>
      <c r="AD19" s="17" t="inlineStr">
        <is>
          <t>Nan</t>
        </is>
      </c>
      <c r="AE19" s="17" t="inlineStr">
        <is>
          <t>Nan</t>
        </is>
      </c>
      <c r="AF19" s="17" t="inlineStr">
        <is>
          <t>Nan</t>
        </is>
      </c>
      <c r="AG19" s="17" t="inlineStr">
        <is>
          <t>Nan</t>
        </is>
      </c>
      <c r="AH19" s="17" t="inlineStr">
        <is>
          <t>Nan</t>
        </is>
      </c>
      <c r="AI19" s="17" t="n">
        <v>170</v>
      </c>
      <c r="AJ19" s="17" t="inlineStr">
        <is>
          <t>Nan</t>
        </is>
      </c>
      <c r="AK19" s="17" t="inlineStr">
        <is>
          <t>Nan</t>
        </is>
      </c>
      <c r="AL19" s="17" t="inlineStr">
        <is>
          <t>Nan</t>
        </is>
      </c>
      <c r="AM19" s="63" t="n">
        <v>1</v>
      </c>
      <c r="AN19" s="63" t="n">
        <v>2</v>
      </c>
      <c r="AO19" s="63" t="n">
        <v>5</v>
      </c>
      <c r="AP19" s="63" t="n">
        <v>0</v>
      </c>
      <c r="AQ19" s="63" t="n">
        <v>1</v>
      </c>
      <c r="AR19" s="63" t="n">
        <v>1</v>
      </c>
      <c r="AS19" s="63" t="n">
        <v>1</v>
      </c>
    </row>
    <row r="20" ht="18.75" customHeight="1">
      <c r="A20" s="7" t="inlineStr">
        <is>
          <t>RQ Nan 21A Blackjack</t>
        </is>
      </c>
      <c r="B20" s="10" t="inlineStr">
        <is>
          <t>Nan</t>
        </is>
      </c>
      <c r="C20" s="78" t="n">
        <v>5000</v>
      </c>
      <c r="D20" s="79" t="n">
        <v>33.29</v>
      </c>
      <c r="E20" s="10" t="n">
        <v>20</v>
      </c>
      <c r="F20" s="10" t="inlineStr">
        <is>
          <t>Nan</t>
        </is>
      </c>
      <c r="G20" s="12" t="inlineStr">
        <is>
          <t>Nan</t>
        </is>
      </c>
      <c r="H20" s="12" t="inlineStr">
        <is>
          <t>Nan</t>
        </is>
      </c>
      <c r="I20" s="12" t="n">
        <v>2.5</v>
      </c>
      <c r="J20" s="12" t="inlineStr">
        <is>
          <t>Nan</t>
        </is>
      </c>
      <c r="K20" s="12" t="inlineStr">
        <is>
          <t>Nan</t>
        </is>
      </c>
      <c r="L20" s="14" t="n">
        <v>61</v>
      </c>
      <c r="M20" s="85" t="n">
        <v>1779.84</v>
      </c>
      <c r="N20" s="15" t="n">
        <v>16</v>
      </c>
      <c r="O20" s="15" t="n">
        <v>46.3</v>
      </c>
      <c r="P20" s="15" t="inlineStr">
        <is>
          <t>Nan</t>
        </is>
      </c>
      <c r="Q20" s="15" t="inlineStr">
        <is>
          <t>Nan</t>
        </is>
      </c>
      <c r="R20" s="15" t="inlineStr">
        <is>
          <t>Nan</t>
        </is>
      </c>
      <c r="S20" s="17" t="n">
        <v>4.8</v>
      </c>
      <c r="T20" s="17" t="inlineStr">
        <is>
          <t>Nan</t>
        </is>
      </c>
      <c r="U20" s="17" t="n">
        <v>17.7</v>
      </c>
      <c r="V20" s="17" t="inlineStr">
        <is>
          <t>Nan</t>
        </is>
      </c>
      <c r="W20" s="17" t="n">
        <v>30.9</v>
      </c>
      <c r="X20" s="18" t="inlineStr">
        <is>
          <t>Nan</t>
        </is>
      </c>
      <c r="Y20" s="17" t="inlineStr">
        <is>
          <t>Nan</t>
        </is>
      </c>
      <c r="Z20" s="17" t="inlineStr">
        <is>
          <t>Nan</t>
        </is>
      </c>
      <c r="AA20" s="83" t="n">
        <v>43.3</v>
      </c>
      <c r="AB20" s="17" t="inlineStr">
        <is>
          <t>Nan</t>
        </is>
      </c>
      <c r="AC20" s="17" t="inlineStr">
        <is>
          <t>Nan</t>
        </is>
      </c>
      <c r="AD20" s="17" t="n">
        <v>92.59999999999999</v>
      </c>
      <c r="AE20" s="17" t="inlineStr">
        <is>
          <t>Nan</t>
        </is>
      </c>
      <c r="AF20" s="17" t="inlineStr">
        <is>
          <t>Nan</t>
        </is>
      </c>
      <c r="AG20" s="17" t="inlineStr">
        <is>
          <t>Nan</t>
        </is>
      </c>
      <c r="AH20" s="17" t="inlineStr">
        <is>
          <t>Nan</t>
        </is>
      </c>
      <c r="AI20" s="17" t="inlineStr">
        <is>
          <t>Nan</t>
        </is>
      </c>
      <c r="AJ20" s="17" t="n">
        <v>8</v>
      </c>
      <c r="AK20" s="17" t="inlineStr">
        <is>
          <t>Nan</t>
        </is>
      </c>
      <c r="AL20" s="17" t="inlineStr">
        <is>
          <t>Nan</t>
        </is>
      </c>
      <c r="AM20" s="63" t="n">
        <v>1</v>
      </c>
      <c r="AN20" s="63" t="n">
        <v>2</v>
      </c>
      <c r="AO20" s="63" t="n">
        <v>5</v>
      </c>
      <c r="AP20" s="63" t="n">
        <v>0</v>
      </c>
      <c r="AQ20" s="63" t="n">
        <v>1</v>
      </c>
      <c r="AR20" s="63" t="n">
        <v>1</v>
      </c>
      <c r="AS20" s="63" t="n">
        <v>1</v>
      </c>
    </row>
    <row r="21" ht="18.75" customHeight="1">
      <c r="A21" s="7" t="inlineStr">
        <is>
          <t>DeltaQuad Evo</t>
        </is>
      </c>
      <c r="B21" s="11" t="inlineStr">
        <is>
          <t>Nan</t>
        </is>
      </c>
      <c r="C21" s="78" t="n">
        <v>5000</v>
      </c>
      <c r="D21" s="79" t="n">
        <v>17.82</v>
      </c>
      <c r="E21" s="10" t="n">
        <v>13</v>
      </c>
      <c r="F21" s="10" t="inlineStr">
        <is>
          <t>Nan</t>
        </is>
      </c>
      <c r="G21" s="12" t="n">
        <v>0.84</v>
      </c>
      <c r="H21" s="12" t="inlineStr">
        <is>
          <t>Nan</t>
        </is>
      </c>
      <c r="I21" s="12" t="n">
        <v>0.75</v>
      </c>
      <c r="J21" s="12" t="inlineStr">
        <is>
          <t>Nan</t>
        </is>
      </c>
      <c r="K21" s="12" t="inlineStr">
        <is>
          <t>Nan</t>
        </is>
      </c>
      <c r="L21" s="14" t="n">
        <v>10</v>
      </c>
      <c r="M21" s="15" t="n">
        <v>270</v>
      </c>
      <c r="N21" s="15" t="n">
        <v>4.53</v>
      </c>
      <c r="O21" s="15" t="inlineStr">
        <is>
          <t>Nan</t>
        </is>
      </c>
      <c r="P21" s="15" t="inlineStr">
        <is>
          <t>Nan</t>
        </is>
      </c>
      <c r="Q21" s="15" t="inlineStr">
        <is>
          <t>Nan</t>
        </is>
      </c>
      <c r="R21" s="15" t="inlineStr">
        <is>
          <t>Nan</t>
        </is>
      </c>
      <c r="S21" s="17" t="n">
        <v>2.69</v>
      </c>
      <c r="T21" s="17" t="inlineStr">
        <is>
          <t>Nan</t>
        </is>
      </c>
      <c r="U21" s="17" t="n">
        <v>3</v>
      </c>
      <c r="V21" s="17" t="inlineStr">
        <is>
          <t>Nan</t>
        </is>
      </c>
      <c r="W21" s="17" t="n">
        <v>16.54</v>
      </c>
      <c r="X21" s="18" t="inlineStr">
        <is>
          <t>Nan</t>
        </is>
      </c>
      <c r="Y21" s="17" t="n">
        <v>4.8</v>
      </c>
      <c r="Z21" s="17" t="n">
        <v>4.8</v>
      </c>
      <c r="AA21" s="17" t="n">
        <v>6.8</v>
      </c>
      <c r="AB21" s="17" t="inlineStr">
        <is>
          <t>Nan</t>
        </is>
      </c>
      <c r="AC21" s="17" t="n">
        <v>45</v>
      </c>
      <c r="AD21" s="17" t="inlineStr">
        <is>
          <t>Nan</t>
        </is>
      </c>
      <c r="AE21" s="17" t="inlineStr">
        <is>
          <t>Nan</t>
        </is>
      </c>
      <c r="AF21" s="17" t="inlineStr">
        <is>
          <t>Nan</t>
        </is>
      </c>
      <c r="AG21" s="17" t="inlineStr">
        <is>
          <t>Nan</t>
        </is>
      </c>
      <c r="AH21" s="17" t="inlineStr">
        <is>
          <t>Nan</t>
        </is>
      </c>
      <c r="AI21" s="17" t="inlineStr">
        <is>
          <t>Nan</t>
        </is>
      </c>
      <c r="AJ21" s="17" t="inlineStr">
        <is>
          <t>Nan</t>
        </is>
      </c>
      <c r="AK21" s="17" t="inlineStr">
        <is>
          <t>Nan</t>
        </is>
      </c>
      <c r="AL21" s="17" t="inlineStr">
        <is>
          <t>Nan</t>
        </is>
      </c>
      <c r="AM21" s="63" t="n">
        <v>2</v>
      </c>
      <c r="AN21" s="63" t="n">
        <v>1</v>
      </c>
      <c r="AO21" s="63" t="n">
        <v>1</v>
      </c>
      <c r="AP21" s="63" t="n">
        <v>4</v>
      </c>
      <c r="AQ21" s="63" t="n">
        <v>1</v>
      </c>
      <c r="AR21" s="63" t="n">
        <v>1</v>
      </c>
      <c r="AS21" s="63" t="n">
        <v>1</v>
      </c>
    </row>
    <row r="22" ht="18.75" customHeight="1">
      <c r="A22" s="7" t="inlineStr">
        <is>
          <t>DeltaQuad Pro #MAP</t>
        </is>
      </c>
      <c r="B22" s="11" t="inlineStr">
        <is>
          <t>Nan</t>
        </is>
      </c>
      <c r="C22" s="78" t="n">
        <v>5000</v>
      </c>
      <c r="D22" s="79" t="n">
        <v>17.24</v>
      </c>
      <c r="E22" s="10" t="n">
        <v>13.123</v>
      </c>
      <c r="F22" s="10" t="inlineStr">
        <is>
          <t>Nan</t>
        </is>
      </c>
      <c r="G22" s="12" t="inlineStr">
        <is>
          <t>Nan</t>
        </is>
      </c>
      <c r="H22" s="12" t="inlineStr">
        <is>
          <t>Nan</t>
        </is>
      </c>
      <c r="I22" s="12" t="n">
        <v>0.9</v>
      </c>
      <c r="J22" s="12" t="inlineStr">
        <is>
          <t>Nan</t>
        </is>
      </c>
      <c r="K22" s="12" t="inlineStr">
        <is>
          <t>Nan</t>
        </is>
      </c>
      <c r="L22" s="14" t="n">
        <v>6.2</v>
      </c>
      <c r="M22" s="15" t="n">
        <v>100</v>
      </c>
      <c r="N22" s="15" t="n">
        <v>1.83</v>
      </c>
      <c r="O22" s="15" t="inlineStr">
        <is>
          <t>Nan</t>
        </is>
      </c>
      <c r="P22" s="15" t="inlineStr">
        <is>
          <t>Nan</t>
        </is>
      </c>
      <c r="Q22" s="15" t="inlineStr">
        <is>
          <t>Nan</t>
        </is>
      </c>
      <c r="R22" s="15" t="inlineStr">
        <is>
          <t>Nan</t>
        </is>
      </c>
      <c r="S22" s="17" t="n">
        <v>2.35</v>
      </c>
      <c r="T22" s="17" t="inlineStr">
        <is>
          <t>Nan</t>
        </is>
      </c>
      <c r="U22" s="17" t="n">
        <v>1.2</v>
      </c>
      <c r="V22" s="17" t="inlineStr">
        <is>
          <t>Nan</t>
        </is>
      </c>
      <c r="W22" s="17" t="n">
        <v>16</v>
      </c>
      <c r="X22" s="17" t="inlineStr">
        <is>
          <t>Nan</t>
        </is>
      </c>
      <c r="Y22" s="17" t="inlineStr">
        <is>
          <t>Nan</t>
        </is>
      </c>
      <c r="Z22" s="17" t="inlineStr">
        <is>
          <t>Nan</t>
        </is>
      </c>
      <c r="AA22" s="83" t="n">
        <v>5</v>
      </c>
      <c r="AB22" s="17" t="inlineStr">
        <is>
          <t>Nan</t>
        </is>
      </c>
      <c r="AC22" s="17" t="n">
        <v>50</v>
      </c>
      <c r="AD22" s="17" t="n">
        <v>50</v>
      </c>
      <c r="AE22" s="17" t="inlineStr">
        <is>
          <t>Nan</t>
        </is>
      </c>
      <c r="AF22" s="17" t="inlineStr">
        <is>
          <t>Nan</t>
        </is>
      </c>
      <c r="AG22" s="17" t="inlineStr">
        <is>
          <t>Nan</t>
        </is>
      </c>
      <c r="AH22" s="17" t="inlineStr">
        <is>
          <t>Nan</t>
        </is>
      </c>
      <c r="AI22" s="17" t="inlineStr">
        <is>
          <t>Nan</t>
        </is>
      </c>
      <c r="AJ22" s="17" t="inlineStr">
        <is>
          <t>Nan</t>
        </is>
      </c>
      <c r="AK22" s="17" t="inlineStr">
        <is>
          <t>Nan</t>
        </is>
      </c>
      <c r="AL22" s="17" t="inlineStr">
        <is>
          <t>Nan</t>
        </is>
      </c>
      <c r="AM22" s="63" t="n">
        <v>2</v>
      </c>
      <c r="AN22" s="63" t="n">
        <v>1</v>
      </c>
      <c r="AO22" s="63" t="n">
        <v>1</v>
      </c>
      <c r="AP22" s="63" t="n">
        <v>4</v>
      </c>
      <c r="AQ22" s="63" t="n">
        <v>1</v>
      </c>
      <c r="AR22" s="63" t="n">
        <v>1</v>
      </c>
      <c r="AS22" s="63" t="n">
        <v>1</v>
      </c>
    </row>
    <row r="23" ht="18.75" customHeight="1">
      <c r="A23" s="7" t="inlineStr">
        <is>
          <t>DeltaQuad Pro #CARGO</t>
        </is>
      </c>
      <c r="B23" s="11" t="inlineStr">
        <is>
          <t>Nan</t>
        </is>
      </c>
      <c r="C23" s="78" t="n">
        <v>5000</v>
      </c>
      <c r="D23" s="79" t="n">
        <v>17.24</v>
      </c>
      <c r="E23" s="10" t="n">
        <v>13.123</v>
      </c>
      <c r="F23" s="10" t="inlineStr">
        <is>
          <t>Nan</t>
        </is>
      </c>
      <c r="G23" s="12" t="inlineStr">
        <is>
          <t>Nan</t>
        </is>
      </c>
      <c r="H23" s="12" t="inlineStr">
        <is>
          <t>Nan</t>
        </is>
      </c>
      <c r="I23" s="12" t="n">
        <v>0.9</v>
      </c>
      <c r="J23" s="12" t="inlineStr">
        <is>
          <t>Nan</t>
        </is>
      </c>
      <c r="K23" s="12" t="inlineStr">
        <is>
          <t>Nan</t>
        </is>
      </c>
      <c r="L23" s="14" t="n">
        <v>6.2</v>
      </c>
      <c r="M23" s="15" t="n">
        <v>100</v>
      </c>
      <c r="N23" s="15" t="n">
        <v>1.83</v>
      </c>
      <c r="O23" s="15" t="inlineStr">
        <is>
          <t>Nan</t>
        </is>
      </c>
      <c r="P23" s="15" t="inlineStr">
        <is>
          <t>Nan</t>
        </is>
      </c>
      <c r="Q23" s="15" t="inlineStr">
        <is>
          <t>Nan</t>
        </is>
      </c>
      <c r="R23" s="15" t="inlineStr">
        <is>
          <t>Nan</t>
        </is>
      </c>
      <c r="S23" s="17" t="n">
        <v>2.35</v>
      </c>
      <c r="T23" s="17" t="inlineStr">
        <is>
          <t>Nan</t>
        </is>
      </c>
      <c r="U23" s="17" t="n">
        <v>1.2</v>
      </c>
      <c r="V23" s="17" t="inlineStr">
        <is>
          <t>Nan</t>
        </is>
      </c>
      <c r="W23" s="17" t="n">
        <v>16</v>
      </c>
      <c r="X23" s="17" t="inlineStr">
        <is>
          <t>Nan</t>
        </is>
      </c>
      <c r="Y23" s="17" t="inlineStr">
        <is>
          <t>Nan</t>
        </is>
      </c>
      <c r="Z23" s="17" t="inlineStr">
        <is>
          <t>Nan</t>
        </is>
      </c>
      <c r="AA23" s="83" t="n">
        <v>5</v>
      </c>
      <c r="AB23" s="17" t="inlineStr">
        <is>
          <t>Nan</t>
        </is>
      </c>
      <c r="AC23" s="17" t="n">
        <v>50</v>
      </c>
      <c r="AD23" s="17" t="n">
        <v>30</v>
      </c>
      <c r="AE23" s="17" t="inlineStr">
        <is>
          <t>Nan</t>
        </is>
      </c>
      <c r="AF23" s="17" t="inlineStr">
        <is>
          <t>Nan</t>
        </is>
      </c>
      <c r="AG23" s="17" t="inlineStr">
        <is>
          <t>Nan</t>
        </is>
      </c>
      <c r="AH23" s="17" t="inlineStr">
        <is>
          <t>Nan</t>
        </is>
      </c>
      <c r="AI23" s="17" t="inlineStr">
        <is>
          <t>Nan</t>
        </is>
      </c>
      <c r="AJ23" s="17" t="inlineStr">
        <is>
          <t>Nan</t>
        </is>
      </c>
      <c r="AK23" s="17" t="inlineStr">
        <is>
          <t>Nan</t>
        </is>
      </c>
      <c r="AL23" s="17" t="inlineStr">
        <is>
          <t>Nan</t>
        </is>
      </c>
      <c r="AM23" s="63" t="n">
        <v>2</v>
      </c>
      <c r="AN23" s="63" t="n">
        <v>1</v>
      </c>
      <c r="AO23" s="63" t="n">
        <v>1</v>
      </c>
      <c r="AP23" s="63" t="n">
        <v>4</v>
      </c>
      <c r="AQ23" s="63" t="n">
        <v>1</v>
      </c>
      <c r="AR23" s="63" t="n">
        <v>1</v>
      </c>
      <c r="AS23" s="63" t="n">
        <v>1</v>
      </c>
    </row>
    <row r="24" ht="18.75" customHeight="1">
      <c r="A24" s="7" t="inlineStr">
        <is>
          <t>V21</t>
        </is>
      </c>
      <c r="B24" s="11" t="inlineStr">
        <is>
          <t>Nan</t>
        </is>
      </c>
      <c r="C24" s="78" t="n">
        <v>5000</v>
      </c>
      <c r="D24" s="79" t="n">
        <v>19.39</v>
      </c>
      <c r="E24" s="10" t="n">
        <v>15000</v>
      </c>
      <c r="F24" s="10">
        <f>P24</f>
        <v/>
      </c>
      <c r="G24" s="12" t="n">
        <v>0.8</v>
      </c>
      <c r="H24" s="13" t="inlineStr">
        <is>
          <t>Nan</t>
        </is>
      </c>
      <c r="I24" s="12" t="n">
        <v>0.93</v>
      </c>
      <c r="J24" s="13" t="inlineStr">
        <is>
          <t>Nan</t>
        </is>
      </c>
      <c r="K24" s="13" t="inlineStr">
        <is>
          <t>Nan</t>
        </is>
      </c>
      <c r="L24" s="14" t="n">
        <v>10</v>
      </c>
      <c r="M24" s="80" t="n">
        <v>194.4</v>
      </c>
      <c r="N24" s="15" t="n">
        <v>3</v>
      </c>
      <c r="O24" s="15" t="n">
        <v>33</v>
      </c>
      <c r="P24" s="15" t="n">
        <v>14</v>
      </c>
      <c r="Q24" s="16" t="inlineStr">
        <is>
          <t>Nan</t>
        </is>
      </c>
      <c r="R24" s="15" t="n">
        <v>100</v>
      </c>
      <c r="S24" s="17" t="n">
        <v>2.15</v>
      </c>
      <c r="T24" s="18" t="inlineStr">
        <is>
          <t>Nan</t>
        </is>
      </c>
      <c r="U24" s="17" t="n">
        <v>1.5</v>
      </c>
      <c r="V24" s="18" t="inlineStr">
        <is>
          <t>Nan</t>
        </is>
      </c>
      <c r="W24" s="17" t="n">
        <v>18</v>
      </c>
      <c r="X24" s="17" t="inlineStr">
        <is>
          <t>Nan</t>
        </is>
      </c>
      <c r="Y24" s="17" t="n">
        <v>2.65</v>
      </c>
      <c r="Z24" s="17" t="inlineStr">
        <is>
          <t>Nan</t>
        </is>
      </c>
      <c r="AA24" s="83" t="n">
        <v>8.5</v>
      </c>
      <c r="AB24" s="17" t="inlineStr">
        <is>
          <t>Nan</t>
        </is>
      </c>
      <c r="AC24" s="17" t="inlineStr">
        <is>
          <t>Nan</t>
        </is>
      </c>
      <c r="AD24" s="17" t="n">
        <v>30</v>
      </c>
      <c r="AE24" s="17" t="n">
        <v>12.5</v>
      </c>
      <c r="AF24" s="18" t="inlineStr">
        <is>
          <t>Nan</t>
        </is>
      </c>
      <c r="AG24" s="17" t="inlineStr">
        <is>
          <t>Nan</t>
        </is>
      </c>
      <c r="AH24" s="18" t="inlineStr">
        <is>
          <t>Nan</t>
        </is>
      </c>
      <c r="AI24" s="17" t="inlineStr">
        <is>
          <t>Nan</t>
        </is>
      </c>
      <c r="AJ24" s="17" t="inlineStr">
        <is>
          <t>Nan</t>
        </is>
      </c>
      <c r="AK24" s="17" t="n">
        <v>3999</v>
      </c>
      <c r="AL24" s="17" t="n">
        <v>0.108</v>
      </c>
      <c r="AM24" s="63" t="n">
        <v>2</v>
      </c>
      <c r="AN24" s="63" t="n">
        <v>1</v>
      </c>
      <c r="AO24" s="63" t="n">
        <v>1</v>
      </c>
      <c r="AP24" s="63" t="n">
        <v>4</v>
      </c>
      <c r="AQ24" s="63" t="n">
        <v>1</v>
      </c>
      <c r="AR24" s="63" t="n">
        <v>1</v>
      </c>
      <c r="AS24" s="63" t="n">
        <v>2</v>
      </c>
    </row>
    <row r="25" ht="18.75" customHeight="1">
      <c r="A25" s="7" t="inlineStr">
        <is>
          <t>V25</t>
        </is>
      </c>
      <c r="B25" s="11" t="inlineStr">
        <is>
          <t>Nan</t>
        </is>
      </c>
      <c r="C25" s="78" t="n">
        <v>5000</v>
      </c>
      <c r="D25" s="79" t="n">
        <v>21.55</v>
      </c>
      <c r="E25" s="10" t="n">
        <v>16000</v>
      </c>
      <c r="F25" s="10">
        <f>P25</f>
        <v/>
      </c>
      <c r="G25" s="12" t="n">
        <v>0.52</v>
      </c>
      <c r="H25" s="13" t="inlineStr">
        <is>
          <t>Nan</t>
        </is>
      </c>
      <c r="I25" s="12" t="n">
        <v>0.93</v>
      </c>
      <c r="J25" s="13" t="inlineStr">
        <is>
          <t>Nan</t>
        </is>
      </c>
      <c r="K25" s="13" t="inlineStr">
        <is>
          <t>Nan</t>
        </is>
      </c>
      <c r="L25" s="14" t="n">
        <v>12.5</v>
      </c>
      <c r="M25" s="80" t="n">
        <v>288</v>
      </c>
      <c r="N25" s="15" t="n">
        <v>4</v>
      </c>
      <c r="O25" s="15" t="n">
        <v>33</v>
      </c>
      <c r="P25" s="15" t="n">
        <v>15.5</v>
      </c>
      <c r="Q25" s="16" t="inlineStr">
        <is>
          <t>Nan</t>
        </is>
      </c>
      <c r="R25" s="15" t="n">
        <v>120</v>
      </c>
      <c r="S25" s="17" t="n">
        <v>2.45</v>
      </c>
      <c r="T25" s="18" t="inlineStr">
        <is>
          <t>Nan</t>
        </is>
      </c>
      <c r="U25" s="17" t="n">
        <v>2.2</v>
      </c>
      <c r="V25" s="18" t="inlineStr">
        <is>
          <t>Nan</t>
        </is>
      </c>
      <c r="W25" s="17" t="n">
        <v>20</v>
      </c>
      <c r="X25" s="26" t="inlineStr">
        <is>
          <t>Nan</t>
        </is>
      </c>
      <c r="Y25" s="17" t="n">
        <v>3.45</v>
      </c>
      <c r="Z25" s="17" t="inlineStr">
        <is>
          <t>Nan</t>
        </is>
      </c>
      <c r="AA25" s="83" t="n">
        <v>10.3</v>
      </c>
      <c r="AB25" s="17" t="inlineStr">
        <is>
          <t>Nan</t>
        </is>
      </c>
      <c r="AC25" s="17" t="inlineStr">
        <is>
          <t>Nan</t>
        </is>
      </c>
      <c r="AD25" s="17" t="n">
        <v>30</v>
      </c>
      <c r="AE25" s="17" t="n">
        <v>24</v>
      </c>
      <c r="AF25" s="18" t="inlineStr">
        <is>
          <t>Nan</t>
        </is>
      </c>
      <c r="AG25" s="17" t="inlineStr">
        <is>
          <t>Nan</t>
        </is>
      </c>
      <c r="AH25" s="18" t="inlineStr">
        <is>
          <t>Nan</t>
        </is>
      </c>
      <c r="AI25" s="17" t="inlineStr">
        <is>
          <t>Nan</t>
        </is>
      </c>
      <c r="AJ25" s="17" t="inlineStr">
        <is>
          <t>Nan</t>
        </is>
      </c>
      <c r="AK25" s="17" t="n">
        <v>4679</v>
      </c>
      <c r="AL25" s="17" t="n">
        <v>0.108</v>
      </c>
      <c r="AM25" s="63" t="n">
        <v>2</v>
      </c>
      <c r="AN25" s="63" t="n">
        <v>1</v>
      </c>
      <c r="AO25" s="63" t="n">
        <v>1</v>
      </c>
      <c r="AP25" s="63" t="n">
        <v>4</v>
      </c>
      <c r="AQ25" s="64" t="n">
        <v>1</v>
      </c>
      <c r="AR25" s="63" t="n">
        <v>1</v>
      </c>
      <c r="AS25" s="63" t="n">
        <v>2</v>
      </c>
    </row>
    <row r="26" ht="18.75" customHeight="1">
      <c r="A26" s="7" t="inlineStr">
        <is>
          <t>V32</t>
        </is>
      </c>
      <c r="B26" s="11" t="inlineStr">
        <is>
          <t>Nan</t>
        </is>
      </c>
      <c r="C26" s="78" t="n">
        <v>5000</v>
      </c>
      <c r="D26" s="79" t="n">
        <v>21.55</v>
      </c>
      <c r="E26" s="10" t="n">
        <v>16000</v>
      </c>
      <c r="F26" s="10">
        <f>P26</f>
        <v/>
      </c>
      <c r="G26" s="13" t="inlineStr">
        <is>
          <t>Nan</t>
        </is>
      </c>
      <c r="H26" s="13" t="inlineStr">
        <is>
          <t>Nan</t>
        </is>
      </c>
      <c r="I26" s="12" t="n">
        <v>1</v>
      </c>
      <c r="J26" s="13" t="inlineStr">
        <is>
          <t>Nan</t>
        </is>
      </c>
      <c r="K26" s="13" t="inlineStr">
        <is>
          <t>Nan</t>
        </is>
      </c>
      <c r="L26" s="14" t="n">
        <v>23.5</v>
      </c>
      <c r="M26" s="80" t="n">
        <v>324</v>
      </c>
      <c r="N26" s="15" t="n">
        <v>4.5</v>
      </c>
      <c r="O26" s="15" t="n">
        <v>33</v>
      </c>
      <c r="P26" s="15" t="n">
        <v>17</v>
      </c>
      <c r="Q26" s="16" t="inlineStr">
        <is>
          <t>Nan</t>
        </is>
      </c>
      <c r="R26" s="15" t="n">
        <v>150</v>
      </c>
      <c r="S26" s="17" t="n">
        <v>3.2</v>
      </c>
      <c r="T26" s="18" t="inlineStr">
        <is>
          <t>Nan</t>
        </is>
      </c>
      <c r="U26" s="17" t="n">
        <v>5</v>
      </c>
      <c r="V26" s="18" t="inlineStr">
        <is>
          <t>Nan</t>
        </is>
      </c>
      <c r="W26" s="17" t="n">
        <v>20</v>
      </c>
      <c r="X26" s="17" t="inlineStr">
        <is>
          <t>Nan</t>
        </is>
      </c>
      <c r="Y26" s="17" t="n">
        <v>6.45</v>
      </c>
      <c r="Z26" s="17" t="inlineStr">
        <is>
          <t>Nan</t>
        </is>
      </c>
      <c r="AA26" s="83" t="n">
        <v>18.5</v>
      </c>
      <c r="AB26" s="17" t="inlineStr">
        <is>
          <t>Nan</t>
        </is>
      </c>
      <c r="AC26" s="17" t="inlineStr">
        <is>
          <t>Nan</t>
        </is>
      </c>
      <c r="AD26" s="17" t="n">
        <v>30</v>
      </c>
      <c r="AE26" s="17" t="n">
        <v>25</v>
      </c>
      <c r="AF26" s="18" t="inlineStr">
        <is>
          <t>Nan</t>
        </is>
      </c>
      <c r="AG26" s="17" t="inlineStr">
        <is>
          <t>Nan</t>
        </is>
      </c>
      <c r="AH26" s="18" t="inlineStr">
        <is>
          <t>Nan</t>
        </is>
      </c>
      <c r="AI26" s="17" t="inlineStr">
        <is>
          <t>Nan</t>
        </is>
      </c>
      <c r="AJ26" s="17" t="inlineStr">
        <is>
          <t>Nan</t>
        </is>
      </c>
      <c r="AK26" s="28" t="n">
        <v>69999</v>
      </c>
      <c r="AL26" s="17" t="n">
        <v>0.108</v>
      </c>
      <c r="AM26" s="63" t="n">
        <v>2</v>
      </c>
      <c r="AN26" s="63" t="n">
        <v>2</v>
      </c>
      <c r="AO26" s="63" t="n">
        <v>1</v>
      </c>
      <c r="AP26" s="63" t="n">
        <v>4</v>
      </c>
      <c r="AQ26" s="63" t="n">
        <v>1</v>
      </c>
      <c r="AR26" s="63" t="n">
        <v>1</v>
      </c>
      <c r="AS26" s="63" t="n">
        <v>3</v>
      </c>
    </row>
    <row r="27" ht="18.75" customHeight="1">
      <c r="A27" s="7" t="inlineStr">
        <is>
          <t>V35</t>
        </is>
      </c>
      <c r="B27" s="11" t="inlineStr">
        <is>
          <t>Nan</t>
        </is>
      </c>
      <c r="C27" s="78" t="n">
        <v>5000</v>
      </c>
      <c r="D27" s="79" t="n">
        <v>26.93</v>
      </c>
      <c r="E27" s="10" t="n">
        <v>16000</v>
      </c>
      <c r="F27" s="10">
        <f>P27</f>
        <v/>
      </c>
      <c r="G27" s="13" t="inlineStr">
        <is>
          <t>Nan</t>
        </is>
      </c>
      <c r="H27" s="13" t="inlineStr">
        <is>
          <t>Nan</t>
        </is>
      </c>
      <c r="I27" s="12" t="n">
        <v>1.88</v>
      </c>
      <c r="J27" s="13" t="inlineStr">
        <is>
          <t>Nan</t>
        </is>
      </c>
      <c r="K27" s="13" t="inlineStr">
        <is>
          <t>Nan</t>
        </is>
      </c>
      <c r="L27" s="14" t="n">
        <v>32</v>
      </c>
      <c r="M27" s="80" t="n">
        <v>252</v>
      </c>
      <c r="N27" s="15" t="n">
        <v>2.8</v>
      </c>
      <c r="O27" s="15" t="n">
        <v>33</v>
      </c>
      <c r="P27" s="16" t="inlineStr">
        <is>
          <t>Nan</t>
        </is>
      </c>
      <c r="Q27" s="15" t="inlineStr">
        <is>
          <t>Nan</t>
        </is>
      </c>
      <c r="R27" s="16" t="inlineStr">
        <is>
          <t>Nan</t>
        </is>
      </c>
      <c r="S27" s="17" t="n">
        <v>3.5</v>
      </c>
      <c r="T27" s="18" t="inlineStr">
        <is>
          <t>Nan</t>
        </is>
      </c>
      <c r="U27" s="17" t="n">
        <v>10</v>
      </c>
      <c r="V27" s="18" t="inlineStr">
        <is>
          <t>Nan</t>
        </is>
      </c>
      <c r="W27" s="17" t="n">
        <v>25</v>
      </c>
      <c r="X27" s="17" t="inlineStr">
        <is>
          <t>Nan</t>
        </is>
      </c>
      <c r="Y27" s="17" t="inlineStr">
        <is>
          <t>Nan</t>
        </is>
      </c>
      <c r="Z27" s="17" t="inlineStr">
        <is>
          <t>Nan</t>
        </is>
      </c>
      <c r="AA27" s="83" t="n">
        <v>22</v>
      </c>
      <c r="AB27" s="17" t="inlineStr">
        <is>
          <t>Nan</t>
        </is>
      </c>
      <c r="AC27" s="17" t="inlineStr">
        <is>
          <t>Nan</t>
        </is>
      </c>
      <c r="AD27" s="17" t="n">
        <v>30</v>
      </c>
      <c r="AE27" s="18" t="inlineStr">
        <is>
          <t>Nan</t>
        </is>
      </c>
      <c r="AF27" s="18" t="inlineStr">
        <is>
          <t>Nan</t>
        </is>
      </c>
      <c r="AG27" s="17" t="inlineStr">
        <is>
          <t>Nan</t>
        </is>
      </c>
      <c r="AH27" s="18" t="inlineStr">
        <is>
          <t>Nan</t>
        </is>
      </c>
      <c r="AI27" s="17" t="inlineStr">
        <is>
          <t>Nan</t>
        </is>
      </c>
      <c r="AJ27" s="17" t="inlineStr">
        <is>
          <t>Nan</t>
        </is>
      </c>
      <c r="AK27" s="17" t="n">
        <v>7999</v>
      </c>
      <c r="AL27" s="18" t="inlineStr">
        <is>
          <t>Nan</t>
        </is>
      </c>
      <c r="AM27" s="63" t="n">
        <v>2</v>
      </c>
      <c r="AN27" s="63" t="n">
        <v>2</v>
      </c>
      <c r="AO27" s="63" t="n">
        <v>1</v>
      </c>
      <c r="AP27" s="63" t="n">
        <v>4</v>
      </c>
      <c r="AQ27" s="63" t="n">
        <v>1</v>
      </c>
      <c r="AR27" s="63" t="n">
        <v>1</v>
      </c>
      <c r="AS27" s="63" t="n">
        <v>3</v>
      </c>
    </row>
    <row r="28" ht="18.75" customHeight="1">
      <c r="A28" s="7" t="inlineStr">
        <is>
          <t>V39</t>
        </is>
      </c>
      <c r="B28" s="11" t="inlineStr">
        <is>
          <t>Nan</t>
        </is>
      </c>
      <c r="C28" s="78" t="n">
        <v>5000</v>
      </c>
      <c r="D28" s="79" t="n">
        <v>26.93</v>
      </c>
      <c r="E28" s="10" t="n">
        <v>16000</v>
      </c>
      <c r="F28" s="10">
        <f>P28</f>
        <v/>
      </c>
      <c r="G28" s="13" t="inlineStr">
        <is>
          <t>Nan</t>
        </is>
      </c>
      <c r="H28" s="13" t="inlineStr">
        <is>
          <t>Nan</t>
        </is>
      </c>
      <c r="I28" s="13" t="inlineStr">
        <is>
          <t>Nan</t>
        </is>
      </c>
      <c r="J28" s="13" t="inlineStr">
        <is>
          <t>Nan</t>
        </is>
      </c>
      <c r="K28" s="13" t="inlineStr">
        <is>
          <t>Nan</t>
        </is>
      </c>
      <c r="L28" s="14" t="n">
        <v>24</v>
      </c>
      <c r="M28" s="80" t="n">
        <v>405</v>
      </c>
      <c r="N28" s="15" t="n">
        <v>4.5</v>
      </c>
      <c r="O28" s="15" t="n">
        <v>33</v>
      </c>
      <c r="P28" s="16" t="inlineStr">
        <is>
          <t>Nan</t>
        </is>
      </c>
      <c r="Q28" s="16" t="inlineStr">
        <is>
          <t>Nan</t>
        </is>
      </c>
      <c r="R28" s="16" t="inlineStr">
        <is>
          <t>Nan</t>
        </is>
      </c>
      <c r="S28" s="17" t="n">
        <v>3.9</v>
      </c>
      <c r="T28" s="18" t="inlineStr">
        <is>
          <t>Nan</t>
        </is>
      </c>
      <c r="U28" s="17" t="n">
        <v>5</v>
      </c>
      <c r="V28" s="18" t="inlineStr">
        <is>
          <t>Nan</t>
        </is>
      </c>
      <c r="W28" s="17" t="n">
        <v>25</v>
      </c>
      <c r="X28" s="17" t="inlineStr">
        <is>
          <t>Nan</t>
        </is>
      </c>
      <c r="Y28" s="17" t="inlineStr">
        <is>
          <t>Nan</t>
        </is>
      </c>
      <c r="Z28" s="17" t="inlineStr">
        <is>
          <t>Nan</t>
        </is>
      </c>
      <c r="AA28" s="83" t="n">
        <v>19</v>
      </c>
      <c r="AB28" s="17" t="inlineStr">
        <is>
          <t>Nan</t>
        </is>
      </c>
      <c r="AC28" s="17" t="inlineStr">
        <is>
          <t>Nan</t>
        </is>
      </c>
      <c r="AD28" s="17" t="n">
        <v>30</v>
      </c>
      <c r="AE28" s="18" t="inlineStr">
        <is>
          <t>Nan</t>
        </is>
      </c>
      <c r="AF28" s="18" t="inlineStr">
        <is>
          <t>Nan</t>
        </is>
      </c>
      <c r="AG28" s="17" t="inlineStr">
        <is>
          <t>Nan</t>
        </is>
      </c>
      <c r="AH28" s="18" t="inlineStr">
        <is>
          <t>Nan</t>
        </is>
      </c>
      <c r="AI28" s="17" t="inlineStr">
        <is>
          <t>Nan</t>
        </is>
      </c>
      <c r="AJ28" s="17" t="inlineStr">
        <is>
          <t>Nan</t>
        </is>
      </c>
      <c r="AK28" s="17" t="n">
        <v>8999</v>
      </c>
      <c r="AL28" s="18" t="inlineStr">
        <is>
          <t>Nan</t>
        </is>
      </c>
      <c r="AM28" s="63" t="n">
        <v>2</v>
      </c>
      <c r="AN28" s="63" t="n">
        <v>2</v>
      </c>
      <c r="AO28" s="63" t="n">
        <v>1</v>
      </c>
      <c r="AP28" s="63" t="n">
        <v>4</v>
      </c>
      <c r="AQ28" s="63" t="n">
        <v>1</v>
      </c>
      <c r="AR28" s="63" t="n">
        <v>1</v>
      </c>
      <c r="AS28" s="63" t="n">
        <v>3</v>
      </c>
    </row>
    <row r="29" ht="18.75" customHeight="1">
      <c r="A29" s="7" t="inlineStr">
        <is>
          <t>Volitation VT370</t>
        </is>
      </c>
      <c r="B29" s="11" t="inlineStr">
        <is>
          <t>Nan</t>
        </is>
      </c>
      <c r="C29" s="78" t="n">
        <v>5000</v>
      </c>
      <c r="D29" s="79" t="n">
        <v>26.93</v>
      </c>
      <c r="E29" s="10" t="n">
        <v>17000</v>
      </c>
      <c r="F29" s="10">
        <f>P29</f>
        <v/>
      </c>
      <c r="G29" s="13" t="inlineStr">
        <is>
          <t>Nan</t>
        </is>
      </c>
      <c r="H29" s="13" t="inlineStr">
        <is>
          <t>Nan</t>
        </is>
      </c>
      <c r="I29" s="12" t="n">
        <v>2.02</v>
      </c>
      <c r="J29" s="13" t="inlineStr">
        <is>
          <t>Nan</t>
        </is>
      </c>
      <c r="K29" s="13" t="inlineStr">
        <is>
          <t>Nan</t>
        </is>
      </c>
      <c r="L29" s="14" t="n">
        <v>40</v>
      </c>
      <c r="M29" s="80" t="n">
        <v>1350</v>
      </c>
      <c r="N29" s="15" t="n">
        <v>15</v>
      </c>
      <c r="O29" s="15" t="n">
        <v>33</v>
      </c>
      <c r="P29" s="16" t="inlineStr">
        <is>
          <t>Nan</t>
        </is>
      </c>
      <c r="Q29" s="15" t="inlineStr">
        <is>
          <t>Nan</t>
        </is>
      </c>
      <c r="R29" s="16" t="inlineStr">
        <is>
          <t>Nan</t>
        </is>
      </c>
      <c r="S29" s="17" t="n">
        <v>6.5</v>
      </c>
      <c r="T29" s="18" t="inlineStr">
        <is>
          <t>Nan</t>
        </is>
      </c>
      <c r="U29" s="17" t="n">
        <v>18</v>
      </c>
      <c r="V29" s="18" t="inlineStr">
        <is>
          <t>Nan</t>
        </is>
      </c>
      <c r="W29" s="17" t="n">
        <v>25</v>
      </c>
      <c r="X29" s="17" t="inlineStr">
        <is>
          <t>Nan</t>
        </is>
      </c>
      <c r="Y29" s="17" t="inlineStr">
        <is>
          <t>Nan</t>
        </is>
      </c>
      <c r="Z29" s="17" t="inlineStr">
        <is>
          <t>Nan</t>
        </is>
      </c>
      <c r="AA29" s="83" t="n">
        <v>22</v>
      </c>
      <c r="AB29" s="17" t="inlineStr">
        <is>
          <t>Nan</t>
        </is>
      </c>
      <c r="AC29" s="17" t="inlineStr">
        <is>
          <t>Nan</t>
        </is>
      </c>
      <c r="AD29" s="18" t="inlineStr">
        <is>
          <t>Nan</t>
        </is>
      </c>
      <c r="AE29" s="18" t="inlineStr">
        <is>
          <t>Nan</t>
        </is>
      </c>
      <c r="AF29" s="18" t="inlineStr">
        <is>
          <t>Nan</t>
        </is>
      </c>
      <c r="AG29" s="17" t="n">
        <v>13</v>
      </c>
      <c r="AH29" s="17" t="n">
        <v>0.96</v>
      </c>
      <c r="AI29" s="17" t="inlineStr">
        <is>
          <t>Nan</t>
        </is>
      </c>
      <c r="AJ29" s="17" t="inlineStr">
        <is>
          <t>Nan</t>
        </is>
      </c>
      <c r="AK29" s="17" t="n">
        <v>8999</v>
      </c>
      <c r="AL29" s="18" t="inlineStr">
        <is>
          <t>Nan</t>
        </is>
      </c>
      <c r="AM29" s="63" t="n">
        <v>2</v>
      </c>
      <c r="AN29" s="63" t="n">
        <v>2</v>
      </c>
      <c r="AO29" s="63" t="n">
        <v>1</v>
      </c>
      <c r="AP29" s="63" t="n">
        <v>4</v>
      </c>
      <c r="AQ29" s="63" t="n">
        <v>1</v>
      </c>
      <c r="AR29" s="63" t="n">
        <v>1</v>
      </c>
      <c r="AS29" s="63" t="n">
        <v>3</v>
      </c>
    </row>
    <row r="30" ht="18.75" customHeight="1">
      <c r="A30" s="7" t="inlineStr">
        <is>
          <t>Skyeye 2600</t>
        </is>
      </c>
      <c r="B30" s="10" t="inlineStr">
        <is>
          <t>Nan</t>
        </is>
      </c>
      <c r="C30" s="78" t="n">
        <v>5000</v>
      </c>
      <c r="D30" s="79" t="n">
        <v>35.55</v>
      </c>
      <c r="E30" s="10" t="inlineStr">
        <is>
          <t>Nan</t>
        </is>
      </c>
      <c r="F30" s="10">
        <f>P30</f>
        <v/>
      </c>
      <c r="G30" s="12" t="n">
        <v>0.88</v>
      </c>
      <c r="H30" s="12" t="inlineStr">
        <is>
          <t>Nan</t>
        </is>
      </c>
      <c r="I30" s="12" t="n">
        <v>2.05</v>
      </c>
      <c r="J30" s="12" t="inlineStr">
        <is>
          <t>Nan</t>
        </is>
      </c>
      <c r="K30" s="12" t="inlineStr">
        <is>
          <t>Nan</t>
        </is>
      </c>
      <c r="L30" s="14" t="n">
        <v>15</v>
      </c>
      <c r="M30" s="85" t="n">
        <v>237.6</v>
      </c>
      <c r="N30" s="15" t="n">
        <v>2</v>
      </c>
      <c r="O30" s="15" t="inlineStr">
        <is>
          <t>Nan</t>
        </is>
      </c>
      <c r="P30" s="15" t="n">
        <v>10</v>
      </c>
      <c r="Q30" s="15" t="inlineStr">
        <is>
          <t>Nan</t>
        </is>
      </c>
      <c r="R30" s="15" t="inlineStr">
        <is>
          <t>Nan</t>
        </is>
      </c>
      <c r="S30" s="17" t="n">
        <v>2.6</v>
      </c>
      <c r="T30" s="17" t="inlineStr">
        <is>
          <t>Nan</t>
        </is>
      </c>
      <c r="U30" s="17" t="n">
        <v>4</v>
      </c>
      <c r="V30" s="18" t="inlineStr">
        <is>
          <t>Nan</t>
        </is>
      </c>
      <c r="W30" s="17" t="n">
        <v>33</v>
      </c>
      <c r="X30" s="17" t="inlineStr">
        <is>
          <t>Nan</t>
        </is>
      </c>
      <c r="Y30" s="17" t="n">
        <v>6.5</v>
      </c>
      <c r="Z30" s="17" t="inlineStr">
        <is>
          <t>Nan</t>
        </is>
      </c>
      <c r="AA30" s="83" t="n">
        <v>11</v>
      </c>
      <c r="AB30" s="17" t="inlineStr">
        <is>
          <t>Nan</t>
        </is>
      </c>
      <c r="AC30" s="17" t="inlineStr">
        <is>
          <t>Nan</t>
        </is>
      </c>
      <c r="AD30" s="84" t="n">
        <v>53.59033183504921</v>
      </c>
      <c r="AE30" s="17" t="inlineStr">
        <is>
          <t>Nan</t>
        </is>
      </c>
      <c r="AF30" s="17" t="inlineStr">
        <is>
          <t>Nan</t>
        </is>
      </c>
      <c r="AG30" s="17" t="inlineStr">
        <is>
          <t>Nan</t>
        </is>
      </c>
      <c r="AH30" s="17" t="inlineStr">
        <is>
          <t>Nan</t>
        </is>
      </c>
      <c r="AI30" s="17" t="inlineStr">
        <is>
          <t>Nan</t>
        </is>
      </c>
      <c r="AJ30" s="17" t="inlineStr">
        <is>
          <t>Nan</t>
        </is>
      </c>
      <c r="AK30" s="17" t="n">
        <v>2299</v>
      </c>
      <c r="AL30" s="17" t="inlineStr">
        <is>
          <t>Nan</t>
        </is>
      </c>
      <c r="AM30" s="63" t="n">
        <v>2</v>
      </c>
      <c r="AN30" s="63" t="n">
        <v>2</v>
      </c>
      <c r="AO30" s="63" t="n">
        <v>1</v>
      </c>
      <c r="AP30" s="63" t="n">
        <v>4</v>
      </c>
      <c r="AQ30" s="63" t="n">
        <v>1</v>
      </c>
      <c r="AR30" s="63" t="n">
        <v>1</v>
      </c>
      <c r="AS30" s="63" t="n">
        <v>3</v>
      </c>
    </row>
    <row r="31" ht="18.75" customHeight="1">
      <c r="A31" s="7" t="inlineStr">
        <is>
          <t>Skyeye 2930 VTOL</t>
        </is>
      </c>
      <c r="B31" s="11" t="inlineStr">
        <is>
          <t>Nan</t>
        </is>
      </c>
      <c r="C31" s="78" t="n">
        <v>5000</v>
      </c>
      <c r="D31" s="79" t="n">
        <v>25.85</v>
      </c>
      <c r="E31" s="10" t="inlineStr">
        <is>
          <t>Nan</t>
        </is>
      </c>
      <c r="F31" s="10">
        <f>P31</f>
        <v/>
      </c>
      <c r="G31" s="12" t="n">
        <v>1</v>
      </c>
      <c r="H31" s="12" t="inlineStr">
        <is>
          <t>Nan</t>
        </is>
      </c>
      <c r="I31" s="12" t="n">
        <v>2.03</v>
      </c>
      <c r="J31" s="12" t="inlineStr">
        <is>
          <t>Nan</t>
        </is>
      </c>
      <c r="K31" s="12" t="inlineStr">
        <is>
          <t>Nan</t>
        </is>
      </c>
      <c r="L31" s="14" t="n">
        <v>28</v>
      </c>
      <c r="M31" s="85" t="n">
        <v>259.2</v>
      </c>
      <c r="N31" s="15" t="n">
        <v>3</v>
      </c>
      <c r="O31" s="15" t="n">
        <v>30</v>
      </c>
      <c r="P31" s="15" t="n">
        <v>18</v>
      </c>
      <c r="Q31" s="15" t="inlineStr">
        <is>
          <t>Nan</t>
        </is>
      </c>
      <c r="R31" s="15" t="inlineStr">
        <is>
          <t>Nan</t>
        </is>
      </c>
      <c r="S31" s="17" t="n">
        <v>2.93</v>
      </c>
      <c r="T31" s="17" t="inlineStr">
        <is>
          <t>Nan</t>
        </is>
      </c>
      <c r="U31" s="17" t="n">
        <v>6</v>
      </c>
      <c r="V31" s="18" t="inlineStr">
        <is>
          <t>Nan</t>
        </is>
      </c>
      <c r="W31" s="17" t="n">
        <v>24</v>
      </c>
      <c r="X31" s="17" t="inlineStr">
        <is>
          <t>Nan</t>
        </is>
      </c>
      <c r="Y31" s="17" t="n">
        <v>7.1</v>
      </c>
      <c r="Z31" s="17" t="inlineStr">
        <is>
          <t>Nan</t>
        </is>
      </c>
      <c r="AA31" s="83" t="n">
        <v>22</v>
      </c>
      <c r="AB31" s="17" t="inlineStr">
        <is>
          <t>Nan</t>
        </is>
      </c>
      <c r="AC31" s="17" t="inlineStr">
        <is>
          <t>Nan</t>
        </is>
      </c>
      <c r="AD31" s="84" t="n">
        <v>87.9033743147501</v>
      </c>
      <c r="AE31" s="17" t="inlineStr">
        <is>
          <t>Nan</t>
        </is>
      </c>
      <c r="AF31" s="17" t="inlineStr">
        <is>
          <t>Nan</t>
        </is>
      </c>
      <c r="AG31" s="17" t="inlineStr">
        <is>
          <t>Nan</t>
        </is>
      </c>
      <c r="AH31" s="17" t="inlineStr">
        <is>
          <t>Nan</t>
        </is>
      </c>
      <c r="AI31" s="17" t="inlineStr">
        <is>
          <t>Nan</t>
        </is>
      </c>
      <c r="AJ31" s="17" t="inlineStr">
        <is>
          <t>Nan</t>
        </is>
      </c>
      <c r="AK31" s="17" t="n">
        <v>6799</v>
      </c>
      <c r="AL31" s="17" t="inlineStr">
        <is>
          <t>Nan</t>
        </is>
      </c>
      <c r="AM31" s="63" t="n">
        <v>2</v>
      </c>
      <c r="AN31" s="63" t="n">
        <v>2</v>
      </c>
      <c r="AO31" s="63" t="n">
        <v>1</v>
      </c>
      <c r="AP31" s="63" t="n">
        <v>4</v>
      </c>
      <c r="AQ31" s="63" t="n">
        <v>1</v>
      </c>
      <c r="AR31" s="63" t="n">
        <v>1</v>
      </c>
      <c r="AS31" s="63" t="n">
        <v>3</v>
      </c>
    </row>
    <row r="32" ht="18.75" customHeight="1">
      <c r="A32" s="7" t="inlineStr">
        <is>
          <t>Skyeye 3600</t>
        </is>
      </c>
      <c r="B32" s="10" t="n">
        <v>50</v>
      </c>
      <c r="C32" s="78" t="n">
        <v>5000</v>
      </c>
      <c r="D32" s="84" t="n">
        <v>25.8975323723667</v>
      </c>
      <c r="E32" s="10" t="inlineStr">
        <is>
          <t>Nan</t>
        </is>
      </c>
      <c r="F32" s="10">
        <f>P32</f>
        <v/>
      </c>
      <c r="G32" s="12" t="n">
        <v>1.33</v>
      </c>
      <c r="H32" s="12" t="inlineStr">
        <is>
          <t>Nan</t>
        </is>
      </c>
      <c r="I32" s="12" t="n">
        <v>2.488</v>
      </c>
      <c r="J32" s="12" t="inlineStr">
        <is>
          <t>Nan</t>
        </is>
      </c>
      <c r="K32" s="12" t="inlineStr">
        <is>
          <t>Nan</t>
        </is>
      </c>
      <c r="L32" s="14" t="n">
        <v>28</v>
      </c>
      <c r="M32" s="84" t="n">
        <v>315.9602110693259</v>
      </c>
      <c r="N32" s="15" t="n">
        <v>4.5</v>
      </c>
      <c r="O32" s="84" t="n">
        <v>32.66273956948616</v>
      </c>
      <c r="P32" s="15" t="n">
        <v>12.5</v>
      </c>
      <c r="Q32" s="15" t="inlineStr">
        <is>
          <t>Nan</t>
        </is>
      </c>
      <c r="R32" s="15" t="inlineStr">
        <is>
          <t>Nan</t>
        </is>
      </c>
      <c r="S32" s="17" t="n">
        <v>3.6</v>
      </c>
      <c r="T32" s="17" t="inlineStr">
        <is>
          <t>Nan</t>
        </is>
      </c>
      <c r="U32" s="17" t="n">
        <v>10</v>
      </c>
      <c r="V32" s="18" t="inlineStr">
        <is>
          <t>Nan</t>
        </is>
      </c>
      <c r="W32" s="17" t="inlineStr">
        <is>
          <t>Nan</t>
        </is>
      </c>
      <c r="X32" s="17" t="inlineStr">
        <is>
          <t>Nan</t>
        </is>
      </c>
      <c r="Y32" s="17" t="n">
        <v>11.5</v>
      </c>
      <c r="Z32" s="17" t="inlineStr">
        <is>
          <t>Nan</t>
        </is>
      </c>
      <c r="AA32" s="83" t="n">
        <v>18</v>
      </c>
      <c r="AB32" s="17" t="inlineStr">
        <is>
          <t>Nan</t>
        </is>
      </c>
      <c r="AC32" s="17" t="inlineStr">
        <is>
          <t>Nan</t>
        </is>
      </c>
      <c r="AD32" s="84" t="n">
        <v>47.59252474348922</v>
      </c>
      <c r="AE32" s="17" t="inlineStr">
        <is>
          <t>Nan</t>
        </is>
      </c>
      <c r="AF32" s="17" t="inlineStr">
        <is>
          <t>Nan</t>
        </is>
      </c>
      <c r="AG32" s="17" t="n">
        <v>11.5</v>
      </c>
      <c r="AH32" s="17" t="inlineStr">
        <is>
          <t>Nan</t>
        </is>
      </c>
      <c r="AI32" s="17" t="inlineStr">
        <is>
          <t>Nan</t>
        </is>
      </c>
      <c r="AJ32" s="17" t="inlineStr">
        <is>
          <t>Nan</t>
        </is>
      </c>
      <c r="AK32" s="17" t="n">
        <v>4999</v>
      </c>
      <c r="AL32" s="17" t="inlineStr">
        <is>
          <t>Nan</t>
        </is>
      </c>
      <c r="AM32" s="63" t="n">
        <v>3</v>
      </c>
      <c r="AN32" s="63" t="n">
        <v>2</v>
      </c>
      <c r="AO32" s="63" t="n">
        <v>5</v>
      </c>
      <c r="AP32" s="63" t="n">
        <v>0</v>
      </c>
      <c r="AQ32" s="63" t="n">
        <v>1</v>
      </c>
      <c r="AR32" s="63" t="n">
        <v>1</v>
      </c>
      <c r="AS32" s="63" t="n">
        <v>3</v>
      </c>
    </row>
    <row r="33" ht="18.75" customHeight="1">
      <c r="A33" s="7" t="inlineStr">
        <is>
          <t>Skyeye 3600 VTOL</t>
        </is>
      </c>
      <c r="B33" s="11" t="inlineStr">
        <is>
          <t>Nan</t>
        </is>
      </c>
      <c r="C33" s="78" t="n">
        <v>5000</v>
      </c>
      <c r="D33" s="79" t="n">
        <v>32.32</v>
      </c>
      <c r="E33" s="10" t="inlineStr">
        <is>
          <t>Nan</t>
        </is>
      </c>
      <c r="F33" s="10">
        <f>P33</f>
        <v/>
      </c>
      <c r="G33" s="12" t="n">
        <v>1.32</v>
      </c>
      <c r="H33" s="12" t="inlineStr">
        <is>
          <t>Nan</t>
        </is>
      </c>
      <c r="I33" s="12" t="n">
        <v>2.42</v>
      </c>
      <c r="J33" s="12" t="inlineStr">
        <is>
          <t>Nan</t>
        </is>
      </c>
      <c r="K33" s="12" t="inlineStr">
        <is>
          <t>Nan</t>
        </is>
      </c>
      <c r="L33" s="14" t="n">
        <v>40</v>
      </c>
      <c r="M33" s="15" t="n">
        <v>300</v>
      </c>
      <c r="N33" s="15" t="n">
        <v>6</v>
      </c>
      <c r="O33" s="15" t="n">
        <v>33</v>
      </c>
      <c r="P33" s="15" t="n">
        <v>24</v>
      </c>
      <c r="Q33" s="15" t="inlineStr">
        <is>
          <t>Nan</t>
        </is>
      </c>
      <c r="R33" s="15" t="inlineStr">
        <is>
          <t>Nan</t>
        </is>
      </c>
      <c r="S33" s="17" t="n">
        <v>3.6</v>
      </c>
      <c r="T33" s="17" t="inlineStr">
        <is>
          <t>Nan</t>
        </is>
      </c>
      <c r="U33" s="17" t="n">
        <v>10</v>
      </c>
      <c r="V33" s="18" t="inlineStr">
        <is>
          <t>Nan</t>
        </is>
      </c>
      <c r="W33" s="17" t="n">
        <v>30</v>
      </c>
      <c r="X33" s="17" t="inlineStr">
        <is>
          <t>Nan</t>
        </is>
      </c>
      <c r="Y33" s="17" t="n">
        <v>11</v>
      </c>
      <c r="Z33" s="17" t="inlineStr">
        <is>
          <t>Nan</t>
        </is>
      </c>
      <c r="AA33" s="83" t="n">
        <v>30</v>
      </c>
      <c r="AB33" s="17" t="inlineStr">
        <is>
          <t>Nan</t>
        </is>
      </c>
      <c r="AC33" s="17" t="inlineStr">
        <is>
          <t>Nan</t>
        </is>
      </c>
      <c r="AD33" s="84" t="n">
        <v>63.97367339332261</v>
      </c>
      <c r="AE33" s="17" t="inlineStr">
        <is>
          <t>Nan</t>
        </is>
      </c>
      <c r="AF33" s="17" t="inlineStr">
        <is>
          <t>Nan</t>
        </is>
      </c>
      <c r="AG33" s="17" t="n">
        <v>11.5</v>
      </c>
      <c r="AH33" s="17" t="inlineStr">
        <is>
          <t>Nan</t>
        </is>
      </c>
      <c r="AI33" s="17" t="inlineStr">
        <is>
          <t>Nan</t>
        </is>
      </c>
      <c r="AJ33" s="17" t="inlineStr">
        <is>
          <t>Nan</t>
        </is>
      </c>
      <c r="AK33" s="17" t="n">
        <v>6999</v>
      </c>
      <c r="AL33" s="17" t="inlineStr">
        <is>
          <t>Nan</t>
        </is>
      </c>
      <c r="AM33" s="63" t="n">
        <v>2</v>
      </c>
      <c r="AN33" s="63" t="n">
        <v>2</v>
      </c>
      <c r="AO33" s="63" t="n">
        <v>1</v>
      </c>
      <c r="AP33" s="63" t="n">
        <v>4</v>
      </c>
      <c r="AQ33" s="63" t="n">
        <v>1</v>
      </c>
      <c r="AR33" s="63" t="n">
        <v>1</v>
      </c>
      <c r="AS33" s="63" t="n">
        <v>3</v>
      </c>
    </row>
    <row r="34" ht="18.75" customHeight="1">
      <c r="A34" s="7" t="inlineStr">
        <is>
          <t>Skyeye 5000</t>
        </is>
      </c>
      <c r="B34" s="10" t="n">
        <v>60</v>
      </c>
      <c r="C34" s="78" t="n">
        <v>5000</v>
      </c>
      <c r="D34" s="79" t="n">
        <v>35.55</v>
      </c>
      <c r="E34" s="10" t="inlineStr">
        <is>
          <t>Nan</t>
        </is>
      </c>
      <c r="F34" s="10">
        <f>P34</f>
        <v/>
      </c>
      <c r="G34" s="12" t="n">
        <v>2.615</v>
      </c>
      <c r="H34" s="12" t="inlineStr">
        <is>
          <t>Nan</t>
        </is>
      </c>
      <c r="I34" s="12" t="n">
        <v>3.5</v>
      </c>
      <c r="J34" s="12" t="inlineStr">
        <is>
          <t>Nan</t>
        </is>
      </c>
      <c r="K34" s="12" t="n">
        <v>0.375</v>
      </c>
      <c r="L34" s="14" t="n">
        <v>90</v>
      </c>
      <c r="M34" s="85" t="n">
        <v>950.4</v>
      </c>
      <c r="N34" s="15" t="n">
        <v>8</v>
      </c>
      <c r="O34" s="15" t="n">
        <v>42</v>
      </c>
      <c r="P34" s="15" t="n">
        <v>15</v>
      </c>
      <c r="Q34" s="15" t="inlineStr">
        <is>
          <t>Nan</t>
        </is>
      </c>
      <c r="R34" s="15" t="inlineStr">
        <is>
          <t>Nan</t>
        </is>
      </c>
      <c r="S34" s="17" t="n">
        <v>5</v>
      </c>
      <c r="T34" s="17" t="inlineStr">
        <is>
          <t>Nan</t>
        </is>
      </c>
      <c r="U34" s="17" t="n">
        <v>20</v>
      </c>
      <c r="V34" s="18" t="inlineStr">
        <is>
          <t>Nan</t>
        </is>
      </c>
      <c r="W34" s="17" t="n">
        <v>33</v>
      </c>
      <c r="X34" s="17" t="inlineStr">
        <is>
          <t>Nan</t>
        </is>
      </c>
      <c r="Y34" s="17" t="n">
        <v>32</v>
      </c>
      <c r="Z34" s="17" t="inlineStr">
        <is>
          <t>Nan</t>
        </is>
      </c>
      <c r="AA34" s="83" t="n">
        <v>70</v>
      </c>
      <c r="AB34" s="17" t="inlineStr">
        <is>
          <t>Nan</t>
        </is>
      </c>
      <c r="AC34" s="17" t="inlineStr">
        <is>
          <t>Nan</t>
        </is>
      </c>
      <c r="AD34" s="17" t="inlineStr">
        <is>
          <t>Nan</t>
        </is>
      </c>
      <c r="AE34" s="17" t="inlineStr">
        <is>
          <t>Nan</t>
        </is>
      </c>
      <c r="AF34" s="17" t="inlineStr">
        <is>
          <t>Nan</t>
        </is>
      </c>
      <c r="AG34" s="17" t="n">
        <v>28</v>
      </c>
      <c r="AH34" s="17" t="n">
        <v>1.2</v>
      </c>
      <c r="AI34" s="17" t="inlineStr">
        <is>
          <t>Nan</t>
        </is>
      </c>
      <c r="AJ34" s="17" t="inlineStr">
        <is>
          <t>Nan</t>
        </is>
      </c>
      <c r="AK34" s="17" t="n">
        <v>9999</v>
      </c>
      <c r="AL34" s="17" t="inlineStr">
        <is>
          <t>Nan</t>
        </is>
      </c>
      <c r="AM34" s="63" t="n">
        <v>3</v>
      </c>
      <c r="AN34" s="63" t="n">
        <v>2</v>
      </c>
      <c r="AO34" s="63" t="n">
        <v>5</v>
      </c>
      <c r="AP34" s="63" t="n">
        <v>0</v>
      </c>
      <c r="AQ34" s="63" t="n">
        <v>1</v>
      </c>
      <c r="AR34" s="63" t="n">
        <v>1</v>
      </c>
      <c r="AS34" s="63" t="n">
        <v>3</v>
      </c>
    </row>
    <row r="35" ht="18.75" customHeight="1">
      <c r="A35" s="7" t="inlineStr">
        <is>
          <t>Skyeye 5000 VTOL</t>
        </is>
      </c>
      <c r="B35" s="11" t="inlineStr">
        <is>
          <t>Nan</t>
        </is>
      </c>
      <c r="C35" s="78" t="n">
        <v>5000</v>
      </c>
      <c r="D35" s="79" t="n">
        <v>30.16</v>
      </c>
      <c r="E35" s="10" t="inlineStr">
        <is>
          <t>Nan</t>
        </is>
      </c>
      <c r="F35" s="10">
        <f>P35</f>
        <v/>
      </c>
      <c r="G35" s="12" t="n">
        <v>2.615</v>
      </c>
      <c r="H35" s="12" t="inlineStr">
        <is>
          <t>Nan</t>
        </is>
      </c>
      <c r="I35" s="12" t="n">
        <v>3.5</v>
      </c>
      <c r="J35" s="12" t="inlineStr">
        <is>
          <t>Nan</t>
        </is>
      </c>
      <c r="K35" s="12" t="n">
        <v>0.375</v>
      </c>
      <c r="L35" s="14" t="n">
        <v>100</v>
      </c>
      <c r="M35" s="15" t="n">
        <v>800</v>
      </c>
      <c r="N35" s="15" t="n">
        <v>8</v>
      </c>
      <c r="O35" s="15" t="n">
        <v>42</v>
      </c>
      <c r="P35" s="15" t="inlineStr">
        <is>
          <t>Nan</t>
        </is>
      </c>
      <c r="Q35" s="15" t="inlineStr">
        <is>
          <t>Nan</t>
        </is>
      </c>
      <c r="R35" s="15" t="inlineStr">
        <is>
          <t>Nan</t>
        </is>
      </c>
      <c r="S35" s="17" t="n">
        <v>5</v>
      </c>
      <c r="T35" s="17" t="inlineStr">
        <is>
          <t>Nan</t>
        </is>
      </c>
      <c r="U35" s="17" t="n">
        <v>25</v>
      </c>
      <c r="V35" s="18" t="inlineStr">
        <is>
          <t>Nan</t>
        </is>
      </c>
      <c r="W35" s="17" t="n">
        <v>28</v>
      </c>
      <c r="X35" s="18" t="inlineStr">
        <is>
          <t>Nan</t>
        </is>
      </c>
      <c r="Y35" s="17" t="inlineStr">
        <is>
          <t>Nan</t>
        </is>
      </c>
      <c r="Z35" s="17" t="inlineStr">
        <is>
          <t>Nan</t>
        </is>
      </c>
      <c r="AA35" s="83" t="n">
        <v>75</v>
      </c>
      <c r="AB35" s="17" t="inlineStr">
        <is>
          <t>Nan</t>
        </is>
      </c>
      <c r="AC35" s="17" t="inlineStr">
        <is>
          <t>Nan</t>
        </is>
      </c>
      <c r="AD35" s="17" t="inlineStr">
        <is>
          <t>Nan</t>
        </is>
      </c>
      <c r="AE35" s="17" t="inlineStr">
        <is>
          <t>Nan</t>
        </is>
      </c>
      <c r="AF35" s="17" t="inlineStr">
        <is>
          <t>Nan</t>
        </is>
      </c>
      <c r="AG35" s="17" t="n">
        <v>28</v>
      </c>
      <c r="AH35" s="17" t="inlineStr">
        <is>
          <t>Nan</t>
        </is>
      </c>
      <c r="AI35" s="17" t="inlineStr">
        <is>
          <t>Nan</t>
        </is>
      </c>
      <c r="AJ35" s="17" t="inlineStr">
        <is>
          <t>Nan</t>
        </is>
      </c>
      <c r="AK35" s="17" t="n">
        <v>13900</v>
      </c>
      <c r="AL35" s="17" t="inlineStr">
        <is>
          <t>Nan</t>
        </is>
      </c>
      <c r="AM35" s="63" t="n">
        <v>2</v>
      </c>
      <c r="AN35" s="63" t="n">
        <v>2</v>
      </c>
      <c r="AO35" s="63" t="n">
        <v>1</v>
      </c>
      <c r="AP35" s="63" t="n">
        <v>4</v>
      </c>
      <c r="AQ35" s="63" t="n">
        <v>1</v>
      </c>
      <c r="AR35" s="63" t="n">
        <v>1</v>
      </c>
      <c r="AS35" s="63" t="n">
        <v>3</v>
      </c>
    </row>
    <row r="36" ht="18.75" customHeight="1">
      <c r="A36" s="7" t="inlineStr">
        <is>
          <t>Skyeye 5000 VTOL octo</t>
        </is>
      </c>
      <c r="B36" s="11" t="inlineStr">
        <is>
          <t>Nan</t>
        </is>
      </c>
      <c r="C36" s="78" t="n">
        <v>5000</v>
      </c>
      <c r="D36" s="79" t="n">
        <v>37.7</v>
      </c>
      <c r="E36" s="10" t="inlineStr">
        <is>
          <t>Nan</t>
        </is>
      </c>
      <c r="F36" s="10" t="inlineStr">
        <is>
          <t>Nan</t>
        </is>
      </c>
      <c r="G36" s="12" t="n">
        <v>2.615</v>
      </c>
      <c r="H36" s="12" t="inlineStr">
        <is>
          <t>Nan</t>
        </is>
      </c>
      <c r="I36" s="12" t="n">
        <v>3.5</v>
      </c>
      <c r="J36" s="12" t="inlineStr">
        <is>
          <t>Nan</t>
        </is>
      </c>
      <c r="K36" s="12" t="n">
        <v>0.375</v>
      </c>
      <c r="L36" s="14" t="n">
        <v>100</v>
      </c>
      <c r="M36" s="84" t="n">
        <v>1557.545827863961</v>
      </c>
      <c r="N36" s="84" t="n">
        <v>14.95545783669545</v>
      </c>
      <c r="O36" s="15" t="n">
        <v>38</v>
      </c>
      <c r="P36" s="15" t="n">
        <v>24</v>
      </c>
      <c r="Q36" s="15" t="inlineStr">
        <is>
          <t>Nan</t>
        </is>
      </c>
      <c r="R36" s="15" t="inlineStr">
        <is>
          <t>Nan</t>
        </is>
      </c>
      <c r="S36" s="17" t="n">
        <v>5</v>
      </c>
      <c r="T36" s="17" t="inlineStr">
        <is>
          <t>Nan</t>
        </is>
      </c>
      <c r="U36" s="17" t="n">
        <v>15</v>
      </c>
      <c r="V36" s="18" t="inlineStr">
        <is>
          <t>Nan</t>
        </is>
      </c>
      <c r="W36" s="17" t="n">
        <v>35</v>
      </c>
      <c r="X36" s="18" t="inlineStr">
        <is>
          <t>Nan</t>
        </is>
      </c>
      <c r="Y36" s="17" t="n">
        <v>35</v>
      </c>
      <c r="Z36" s="17" t="inlineStr">
        <is>
          <t>Nan</t>
        </is>
      </c>
      <c r="AA36" s="83" t="n">
        <v>85</v>
      </c>
      <c r="AB36" s="17" t="inlineStr">
        <is>
          <t>Nan</t>
        </is>
      </c>
      <c r="AC36" s="17" t="inlineStr">
        <is>
          <t>Nan</t>
        </is>
      </c>
      <c r="AD36" s="84" t="n">
        <v>136.1778165482803</v>
      </c>
      <c r="AE36" s="17" t="inlineStr">
        <is>
          <t>Nan</t>
        </is>
      </c>
      <c r="AF36" s="17" t="inlineStr">
        <is>
          <t>Nan</t>
        </is>
      </c>
      <c r="AG36" s="17" t="n">
        <v>28</v>
      </c>
      <c r="AH36" s="17" t="inlineStr">
        <is>
          <t>Nan</t>
        </is>
      </c>
      <c r="AI36" s="17" t="inlineStr">
        <is>
          <t>Nan</t>
        </is>
      </c>
      <c r="AJ36" s="17" t="inlineStr">
        <is>
          <t>Nan</t>
        </is>
      </c>
      <c r="AK36" s="17" t="n">
        <v>15999</v>
      </c>
      <c r="AL36" s="17" t="inlineStr">
        <is>
          <t>Nan</t>
        </is>
      </c>
      <c r="AM36" s="63" t="n">
        <v>2</v>
      </c>
      <c r="AN36" s="63" t="n">
        <v>2</v>
      </c>
      <c r="AO36" s="63" t="n">
        <v>1</v>
      </c>
      <c r="AP36" s="63" t="n">
        <v>8</v>
      </c>
      <c r="AQ36" s="63" t="n">
        <v>1</v>
      </c>
      <c r="AR36" s="63" t="n">
        <v>1</v>
      </c>
      <c r="AS36" s="63" t="n">
        <v>3</v>
      </c>
    </row>
    <row r="37" ht="18.75" customHeight="1">
      <c r="A37" s="7" t="inlineStr">
        <is>
          <t>Volitation VT510</t>
        </is>
      </c>
      <c r="B37" s="11" t="inlineStr">
        <is>
          <t>Nan</t>
        </is>
      </c>
      <c r="C37" s="78" t="n">
        <v>5000</v>
      </c>
      <c r="D37" s="79" t="n">
        <v>32.32</v>
      </c>
      <c r="E37" s="10" t="n">
        <v>17000</v>
      </c>
      <c r="F37" s="10">
        <f>P37</f>
        <v/>
      </c>
      <c r="G37" s="12" t="inlineStr">
        <is>
          <t>Nan</t>
        </is>
      </c>
      <c r="H37" s="12" t="inlineStr">
        <is>
          <t>Nan</t>
        </is>
      </c>
      <c r="I37" s="12" t="n">
        <v>2.905</v>
      </c>
      <c r="J37" s="12" t="inlineStr">
        <is>
          <t>Nan</t>
        </is>
      </c>
      <c r="K37" s="12" t="inlineStr">
        <is>
          <t>Nan</t>
        </is>
      </c>
      <c r="L37" s="14" t="n">
        <v>100</v>
      </c>
      <c r="M37" s="85" t="n">
        <v>540</v>
      </c>
      <c r="N37" s="15" t="n">
        <v>5</v>
      </c>
      <c r="O37" s="15" t="n">
        <v>50</v>
      </c>
      <c r="P37" s="15" t="n">
        <v>25</v>
      </c>
      <c r="Q37" s="15" t="inlineStr">
        <is>
          <t>Nan</t>
        </is>
      </c>
      <c r="R37" s="15" t="inlineStr">
        <is>
          <t>Nan</t>
        </is>
      </c>
      <c r="S37" s="29" t="n">
        <v>5.1</v>
      </c>
      <c r="T37" s="17" t="inlineStr">
        <is>
          <t>Nan</t>
        </is>
      </c>
      <c r="U37" s="17" t="n">
        <v>25</v>
      </c>
      <c r="V37" s="18" t="inlineStr">
        <is>
          <t>Nan</t>
        </is>
      </c>
      <c r="W37" s="17" t="n">
        <v>30</v>
      </c>
      <c r="X37" s="17" t="inlineStr">
        <is>
          <t>Nan</t>
        </is>
      </c>
      <c r="Y37" s="17" t="inlineStr">
        <is>
          <t>Nan</t>
        </is>
      </c>
      <c r="Z37" s="17" t="inlineStr">
        <is>
          <t>Nan</t>
        </is>
      </c>
      <c r="AA37" s="83" t="n">
        <v>75</v>
      </c>
      <c r="AB37" s="17" t="inlineStr">
        <is>
          <t>Nan</t>
        </is>
      </c>
      <c r="AC37" s="17" t="inlineStr">
        <is>
          <t>Nan</t>
        </is>
      </c>
      <c r="AD37" s="17" t="inlineStr">
        <is>
          <t>Nan</t>
        </is>
      </c>
      <c r="AE37" s="17" t="inlineStr">
        <is>
          <t>Nan</t>
        </is>
      </c>
      <c r="AF37" s="17" t="inlineStr">
        <is>
          <t>Nan</t>
        </is>
      </c>
      <c r="AG37" s="17" t="n">
        <v>25</v>
      </c>
      <c r="AH37" s="17" t="n">
        <v>5</v>
      </c>
      <c r="AI37" s="17" t="inlineStr">
        <is>
          <t>Nan</t>
        </is>
      </c>
      <c r="AJ37" s="17" t="inlineStr">
        <is>
          <t>Nan</t>
        </is>
      </c>
      <c r="AK37" s="17" t="n">
        <v>16599</v>
      </c>
      <c r="AL37" s="17" t="inlineStr">
        <is>
          <t>Nan</t>
        </is>
      </c>
      <c r="AM37" s="63" t="n">
        <v>2</v>
      </c>
      <c r="AN37" s="63" t="n">
        <v>2</v>
      </c>
      <c r="AO37" s="63" t="n">
        <v>1</v>
      </c>
      <c r="AP37" s="63" t="n">
        <v>4</v>
      </c>
      <c r="AQ37" s="63" t="n">
        <v>1</v>
      </c>
      <c r="AR37" s="63" t="n">
        <v>1</v>
      </c>
      <c r="AS37" s="63" t="n">
        <v>3</v>
      </c>
    </row>
    <row r="38" ht="18.75" customHeight="1">
      <c r="A38" s="7" t="inlineStr">
        <is>
          <t>Ascend</t>
        </is>
      </c>
      <c r="B38" s="11" t="inlineStr">
        <is>
          <t>Nan</t>
        </is>
      </c>
      <c r="C38" s="78" t="n">
        <v>5000</v>
      </c>
      <c r="D38" s="79" t="n">
        <v>21.55</v>
      </c>
      <c r="E38" s="10" t="n">
        <v>10000</v>
      </c>
      <c r="F38" s="10" t="inlineStr">
        <is>
          <t>Nan</t>
        </is>
      </c>
      <c r="G38" s="12" t="inlineStr">
        <is>
          <t>Nan</t>
        </is>
      </c>
      <c r="H38" s="12" t="inlineStr">
        <is>
          <t>Nan</t>
        </is>
      </c>
      <c r="I38" s="12" t="n">
        <v>1.562</v>
      </c>
      <c r="J38" s="12" t="inlineStr">
        <is>
          <t>Nan</t>
        </is>
      </c>
      <c r="K38" s="12" t="inlineStr">
        <is>
          <t>Nan</t>
        </is>
      </c>
      <c r="L38" s="14" t="n">
        <v>9.5</v>
      </c>
      <c r="M38" s="85" t="n">
        <v>432</v>
      </c>
      <c r="N38" s="15" t="n">
        <v>6</v>
      </c>
      <c r="O38" s="15" t="n">
        <v>30</v>
      </c>
      <c r="P38" s="15" t="n">
        <v>13</v>
      </c>
      <c r="Q38" s="15" t="inlineStr">
        <is>
          <t>Nan</t>
        </is>
      </c>
      <c r="R38" s="15" t="inlineStr">
        <is>
          <t>Nan</t>
        </is>
      </c>
      <c r="S38" s="29" t="n">
        <v>2</v>
      </c>
      <c r="T38" s="17" t="inlineStr">
        <is>
          <t>Nan</t>
        </is>
      </c>
      <c r="U38" s="17" t="n">
        <v>0.6</v>
      </c>
      <c r="V38" s="18" t="n">
        <v>0.05</v>
      </c>
      <c r="W38" s="17" t="n">
        <v>20</v>
      </c>
      <c r="X38" s="17" t="inlineStr">
        <is>
          <t>Nan</t>
        </is>
      </c>
      <c r="Y38" s="17" t="n">
        <v>3</v>
      </c>
      <c r="Z38" s="17" t="n">
        <v>6</v>
      </c>
      <c r="AA38" s="17" t="n">
        <v>8.9</v>
      </c>
      <c r="AB38" s="17" t="inlineStr">
        <is>
          <t>Nan</t>
        </is>
      </c>
      <c r="AC38" s="17" t="n">
        <v>15</v>
      </c>
      <c r="AD38" s="17" t="inlineStr">
        <is>
          <t>Nan</t>
        </is>
      </c>
      <c r="AE38" s="17" t="inlineStr">
        <is>
          <t>Nan</t>
        </is>
      </c>
      <c r="AF38" s="17" t="inlineStr">
        <is>
          <t>Nan</t>
        </is>
      </c>
      <c r="AG38" s="17" t="inlineStr">
        <is>
          <t>Nan</t>
        </is>
      </c>
      <c r="AH38" s="17" t="inlineStr">
        <is>
          <t>Nan</t>
        </is>
      </c>
      <c r="AI38" s="17" t="inlineStr">
        <is>
          <t>Nan</t>
        </is>
      </c>
      <c r="AJ38" s="17" t="inlineStr">
        <is>
          <t>Nan</t>
        </is>
      </c>
      <c r="AK38" s="17" t="inlineStr">
        <is>
          <t>Nan</t>
        </is>
      </c>
      <c r="AL38" s="17" t="inlineStr">
        <is>
          <t>Nan</t>
        </is>
      </c>
      <c r="AM38" s="63" t="n">
        <v>2</v>
      </c>
      <c r="AN38" s="63" t="n">
        <v>2</v>
      </c>
      <c r="AO38" s="63" t="n">
        <v>1</v>
      </c>
      <c r="AP38" s="63" t="n">
        <v>4</v>
      </c>
      <c r="AQ38" s="63" t="n">
        <v>1</v>
      </c>
      <c r="AR38" s="63" t="n">
        <v>1</v>
      </c>
      <c r="AS38" s="63" t="n">
        <v>3</v>
      </c>
    </row>
    <row r="39" ht="18.75" customHeight="1">
      <c r="A39" s="7" t="inlineStr">
        <is>
          <t>Transition</t>
        </is>
      </c>
      <c r="B39" s="11" t="inlineStr">
        <is>
          <t>Nan</t>
        </is>
      </c>
      <c r="C39" s="78" t="n">
        <v>5000</v>
      </c>
      <c r="D39" s="79" t="n">
        <v>21.55</v>
      </c>
      <c r="E39" s="10" t="n">
        <v>13000</v>
      </c>
      <c r="F39" s="10" t="inlineStr">
        <is>
          <t>Nan</t>
        </is>
      </c>
      <c r="G39" s="12" t="inlineStr">
        <is>
          <t>Nan</t>
        </is>
      </c>
      <c r="H39" s="12" t="inlineStr">
        <is>
          <t>Nan</t>
        </is>
      </c>
      <c r="I39" s="12" t="n">
        <v>2.3</v>
      </c>
      <c r="J39" s="12" t="inlineStr">
        <is>
          <t>Nan</t>
        </is>
      </c>
      <c r="K39" s="12" t="inlineStr">
        <is>
          <t>Nan</t>
        </is>
      </c>
      <c r="L39" s="14" t="n">
        <v>18</v>
      </c>
      <c r="M39" s="85" t="n">
        <v>864</v>
      </c>
      <c r="N39" s="15" t="n">
        <v>12</v>
      </c>
      <c r="O39" s="15" t="n">
        <v>30</v>
      </c>
      <c r="P39" s="15" t="n">
        <v>13</v>
      </c>
      <c r="Q39" s="15" t="inlineStr">
        <is>
          <t>Nan</t>
        </is>
      </c>
      <c r="R39" s="15" t="inlineStr">
        <is>
          <t>Nan</t>
        </is>
      </c>
      <c r="S39" s="29" t="n">
        <v>3</v>
      </c>
      <c r="T39" s="17" t="inlineStr">
        <is>
          <t>Nan</t>
        </is>
      </c>
      <c r="U39" s="17" t="n">
        <v>1.5</v>
      </c>
      <c r="V39" s="18" t="n">
        <v>0.05</v>
      </c>
      <c r="W39" s="17" t="n">
        <v>20</v>
      </c>
      <c r="X39" s="17" t="inlineStr">
        <is>
          <t>Nan</t>
        </is>
      </c>
      <c r="Y39" s="17" t="n">
        <v>5.8</v>
      </c>
      <c r="Z39" s="17" t="n">
        <v>11.8</v>
      </c>
      <c r="AA39" s="17" t="n">
        <v>16.5</v>
      </c>
      <c r="AB39" s="17" t="inlineStr">
        <is>
          <t>Nan</t>
        </is>
      </c>
      <c r="AC39" s="17" t="n">
        <v>15</v>
      </c>
      <c r="AD39" s="17" t="inlineStr">
        <is>
          <t>Nan</t>
        </is>
      </c>
      <c r="AE39" s="17" t="inlineStr">
        <is>
          <t>Nan</t>
        </is>
      </c>
      <c r="AF39" s="17" t="inlineStr">
        <is>
          <t>Nan</t>
        </is>
      </c>
      <c r="AG39" s="17" t="inlineStr">
        <is>
          <t>Nan</t>
        </is>
      </c>
      <c r="AH39" s="17" t="inlineStr">
        <is>
          <t>Nan</t>
        </is>
      </c>
      <c r="AI39" s="17" t="inlineStr">
        <is>
          <t>Nan</t>
        </is>
      </c>
      <c r="AJ39" s="17" t="inlineStr">
        <is>
          <t>Nan</t>
        </is>
      </c>
      <c r="AK39" s="17" t="inlineStr">
        <is>
          <t>Nan</t>
        </is>
      </c>
      <c r="AL39" s="17" t="inlineStr">
        <is>
          <t>Nan</t>
        </is>
      </c>
      <c r="AM39" s="63" t="n">
        <v>2</v>
      </c>
      <c r="AN39" s="63" t="n">
        <v>2</v>
      </c>
      <c r="AO39" s="63" t="n">
        <v>1</v>
      </c>
      <c r="AP39" s="63" t="n">
        <v>4</v>
      </c>
      <c r="AQ39" s="63" t="n">
        <v>1</v>
      </c>
      <c r="AR39" s="63" t="n">
        <v>1</v>
      </c>
      <c r="AS39" s="63" t="n">
        <v>3</v>
      </c>
    </row>
    <row r="40" ht="18.75" customHeight="1">
      <c r="A40" s="7" t="inlineStr">
        <is>
          <t>Reach</t>
        </is>
      </c>
      <c r="B40" s="11" t="inlineStr">
        <is>
          <t>Nan</t>
        </is>
      </c>
      <c r="C40" s="78" t="n">
        <v>5000</v>
      </c>
      <c r="D40" s="79" t="n">
        <v>26.93</v>
      </c>
      <c r="E40" s="10" t="n">
        <v>16000</v>
      </c>
      <c r="F40" s="10" t="inlineStr">
        <is>
          <t>Nan</t>
        </is>
      </c>
      <c r="G40" s="12" t="inlineStr">
        <is>
          <t>Nan</t>
        </is>
      </c>
      <c r="H40" s="12" t="inlineStr">
        <is>
          <t>Nan</t>
        </is>
      </c>
      <c r="I40" s="12" t="n">
        <v>4.712</v>
      </c>
      <c r="J40" s="12" t="inlineStr">
        <is>
          <t>Nan</t>
        </is>
      </c>
      <c r="K40" s="12" t="inlineStr">
        <is>
          <t>Nan</t>
        </is>
      </c>
      <c r="L40" s="14" t="n">
        <v>91</v>
      </c>
      <c r="M40" s="85" t="n">
        <v>1800</v>
      </c>
      <c r="N40" s="15" t="n">
        <v>20</v>
      </c>
      <c r="O40" s="15" t="n">
        <v>35</v>
      </c>
      <c r="P40" s="15" t="n">
        <v>13</v>
      </c>
      <c r="Q40" s="15" t="inlineStr">
        <is>
          <t>Nan</t>
        </is>
      </c>
      <c r="R40" s="15" t="inlineStr">
        <is>
          <t>Nan</t>
        </is>
      </c>
      <c r="S40" s="29" t="n">
        <v>6</v>
      </c>
      <c r="T40" s="17" t="inlineStr">
        <is>
          <t>Nan</t>
        </is>
      </c>
      <c r="U40" s="17" t="n">
        <v>7</v>
      </c>
      <c r="V40" s="17" t="n">
        <v>0.05</v>
      </c>
      <c r="W40" s="17" t="n">
        <v>25</v>
      </c>
      <c r="X40" s="26" t="inlineStr">
        <is>
          <t>Nan</t>
        </is>
      </c>
      <c r="Y40" s="17" t="n">
        <v>31</v>
      </c>
      <c r="Z40" s="17" t="n">
        <v>54</v>
      </c>
      <c r="AA40" s="17" t="n">
        <v>84</v>
      </c>
      <c r="AB40" s="17" t="inlineStr">
        <is>
          <t>Nan</t>
        </is>
      </c>
      <c r="AC40" s="17" t="n">
        <v>15</v>
      </c>
      <c r="AD40" s="17" t="inlineStr">
        <is>
          <t>Nan</t>
        </is>
      </c>
      <c r="AE40" s="17" t="inlineStr">
        <is>
          <t>Nan</t>
        </is>
      </c>
      <c r="AF40" s="17" t="inlineStr">
        <is>
          <t>Nan</t>
        </is>
      </c>
      <c r="AG40" s="17" t="inlineStr">
        <is>
          <t>Nan</t>
        </is>
      </c>
      <c r="AH40" s="17" t="inlineStr">
        <is>
          <t>Nan</t>
        </is>
      </c>
      <c r="AI40" s="17" t="inlineStr">
        <is>
          <t>Nan</t>
        </is>
      </c>
      <c r="AJ40" s="17" t="inlineStr">
        <is>
          <t>Nan</t>
        </is>
      </c>
      <c r="AK40" s="17" t="inlineStr">
        <is>
          <t>Nan</t>
        </is>
      </c>
      <c r="AL40" s="17" t="inlineStr">
        <is>
          <t>Nan</t>
        </is>
      </c>
      <c r="AM40" s="63" t="n">
        <v>2</v>
      </c>
      <c r="AN40" s="63" t="n">
        <v>2</v>
      </c>
      <c r="AO40" s="63" t="n">
        <v>1</v>
      </c>
      <c r="AP40" s="63" t="n">
        <v>4</v>
      </c>
      <c r="AQ40" s="63" t="n">
        <v>1</v>
      </c>
      <c r="AR40" s="63" t="n">
        <v>1</v>
      </c>
      <c r="AS40" s="63" t="n">
        <v>3</v>
      </c>
    </row>
    <row r="41" ht="18.75" customHeight="1">
      <c r="A41" s="7" t="inlineStr">
        <is>
          <t>HYFLY H510</t>
        </is>
      </c>
      <c r="B41" s="11" t="inlineStr">
        <is>
          <t>Nan</t>
        </is>
      </c>
      <c r="C41" s="78" t="n">
        <v>5000</v>
      </c>
      <c r="D41" s="79" t="n">
        <v>29.84</v>
      </c>
      <c r="E41" s="10" t="inlineStr">
        <is>
          <t>Nan</t>
        </is>
      </c>
      <c r="F41" s="10" t="inlineStr">
        <is>
          <t>Nan</t>
        </is>
      </c>
      <c r="G41" s="12" t="inlineStr">
        <is>
          <t>Nan</t>
        </is>
      </c>
      <c r="H41" s="12" t="inlineStr">
        <is>
          <t>Nan</t>
        </is>
      </c>
      <c r="I41" s="12" t="inlineStr">
        <is>
          <t>Nan</t>
        </is>
      </c>
      <c r="J41" s="12" t="inlineStr">
        <is>
          <t>Nan</t>
        </is>
      </c>
      <c r="K41" s="12" t="inlineStr">
        <is>
          <t>Nan</t>
        </is>
      </c>
      <c r="L41" s="14" t="n">
        <v>75</v>
      </c>
      <c r="M41" s="15" t="inlineStr">
        <is>
          <t>Nan</t>
        </is>
      </c>
      <c r="N41" s="15" t="inlineStr">
        <is>
          <t>Nan</t>
        </is>
      </c>
      <c r="O41" s="15" t="inlineStr">
        <is>
          <t>Nan</t>
        </is>
      </c>
      <c r="P41" s="15" t="inlineStr">
        <is>
          <t>Nan</t>
        </is>
      </c>
      <c r="Q41" s="15" t="inlineStr">
        <is>
          <t>Nan</t>
        </is>
      </c>
      <c r="R41" s="15" t="inlineStr">
        <is>
          <t>Nan</t>
        </is>
      </c>
      <c r="S41" s="17" t="n">
        <v>3</v>
      </c>
      <c r="T41" s="17" t="inlineStr">
        <is>
          <t>Nan</t>
        </is>
      </c>
      <c r="U41" s="17" t="n">
        <v>10</v>
      </c>
      <c r="V41" s="17" t="inlineStr">
        <is>
          <t>Nan</t>
        </is>
      </c>
      <c r="W41" s="17" t="n">
        <v>27.7</v>
      </c>
      <c r="X41" s="17" t="inlineStr">
        <is>
          <t>Nan</t>
        </is>
      </c>
      <c r="Y41" s="17" t="inlineStr">
        <is>
          <t>Nan</t>
        </is>
      </c>
      <c r="Z41" s="17" t="inlineStr">
        <is>
          <t>Nan</t>
        </is>
      </c>
      <c r="AA41" s="83" t="n">
        <v>65</v>
      </c>
      <c r="AB41" s="17" t="inlineStr">
        <is>
          <t>Nan</t>
        </is>
      </c>
      <c r="AC41" s="17" t="inlineStr">
        <is>
          <t>Nan</t>
        </is>
      </c>
      <c r="AD41" s="17" t="inlineStr">
        <is>
          <t>Nan</t>
        </is>
      </c>
      <c r="AE41" s="17" t="inlineStr">
        <is>
          <t>Nan</t>
        </is>
      </c>
      <c r="AF41" s="17" t="inlineStr">
        <is>
          <t>Nan</t>
        </is>
      </c>
      <c r="AG41" s="17" t="inlineStr">
        <is>
          <t>Nan</t>
        </is>
      </c>
      <c r="AH41" s="17" t="inlineStr">
        <is>
          <t>Nan</t>
        </is>
      </c>
      <c r="AI41" s="17" t="inlineStr">
        <is>
          <t>Nan</t>
        </is>
      </c>
      <c r="AJ41" s="17" t="inlineStr">
        <is>
          <t>Nan</t>
        </is>
      </c>
      <c r="AK41" s="17" t="inlineStr">
        <is>
          <t>Nan</t>
        </is>
      </c>
      <c r="AL41" s="17" t="inlineStr">
        <is>
          <t>Nan</t>
        </is>
      </c>
      <c r="AM41" s="63" t="n">
        <v>2</v>
      </c>
      <c r="AN41" s="65" t="n">
        <v>4</v>
      </c>
      <c r="AO41" s="65" t="n">
        <v>4</v>
      </c>
      <c r="AP41" s="65" t="n">
        <v>4</v>
      </c>
      <c r="AQ41" s="65" t="n">
        <v>4</v>
      </c>
      <c r="AR41" s="65" t="n">
        <v>5</v>
      </c>
      <c r="AS41" s="63" t="n">
        <v>3</v>
      </c>
    </row>
    <row r="42" ht="18.75" customHeight="1">
      <c r="A42" s="7" t="inlineStr">
        <is>
          <t>HYFLY H405</t>
        </is>
      </c>
      <c r="B42" s="10" t="inlineStr">
        <is>
          <t>Nan</t>
        </is>
      </c>
      <c r="C42" s="78" t="n">
        <v>5000</v>
      </c>
      <c r="D42" s="79" t="n">
        <v>26.93</v>
      </c>
      <c r="E42" s="10" t="inlineStr">
        <is>
          <t>Nan</t>
        </is>
      </c>
      <c r="F42" s="10" t="inlineStr">
        <is>
          <t>Nan</t>
        </is>
      </c>
      <c r="G42" s="12" t="inlineStr">
        <is>
          <t>Nan</t>
        </is>
      </c>
      <c r="H42" s="12" t="inlineStr">
        <is>
          <t>Nan</t>
        </is>
      </c>
      <c r="I42" s="12" t="n">
        <v>1.5</v>
      </c>
      <c r="J42" s="12" t="inlineStr">
        <is>
          <t>Nan</t>
        </is>
      </c>
      <c r="K42" s="12" t="inlineStr">
        <is>
          <t>Nan</t>
        </is>
      </c>
      <c r="L42" s="14" t="n">
        <v>25</v>
      </c>
      <c r="M42" s="15" t="inlineStr">
        <is>
          <t>Nan</t>
        </is>
      </c>
      <c r="N42" s="86" t="inlineStr">
        <is>
          <t>Nan</t>
        </is>
      </c>
      <c r="O42" s="15" t="inlineStr">
        <is>
          <t>Nan</t>
        </is>
      </c>
      <c r="P42" s="15" t="inlineStr">
        <is>
          <t>Nan</t>
        </is>
      </c>
      <c r="Q42" s="15" t="inlineStr">
        <is>
          <t>Nan</t>
        </is>
      </c>
      <c r="R42" s="15" t="inlineStr">
        <is>
          <t>Nan</t>
        </is>
      </c>
      <c r="S42" s="17" t="n">
        <v>1.5</v>
      </c>
      <c r="T42" s="17" t="inlineStr">
        <is>
          <t>Nan</t>
        </is>
      </c>
      <c r="U42" s="17" t="n">
        <v>5</v>
      </c>
      <c r="V42" s="17" t="inlineStr">
        <is>
          <t>Nan</t>
        </is>
      </c>
      <c r="W42" s="17" t="n">
        <v>25</v>
      </c>
      <c r="X42" s="17" t="inlineStr">
        <is>
          <t>Nan</t>
        </is>
      </c>
      <c r="Y42" s="17" t="inlineStr">
        <is>
          <t>Nan</t>
        </is>
      </c>
      <c r="Z42" s="17" t="inlineStr">
        <is>
          <t>Nan</t>
        </is>
      </c>
      <c r="AA42" s="83" t="n">
        <v>20</v>
      </c>
      <c r="AB42" s="17" t="inlineStr">
        <is>
          <t>Nan</t>
        </is>
      </c>
      <c r="AC42" s="17" t="inlineStr">
        <is>
          <t>Nan</t>
        </is>
      </c>
      <c r="AD42" s="17" t="inlineStr">
        <is>
          <t>Nan</t>
        </is>
      </c>
      <c r="AE42" s="17" t="inlineStr">
        <is>
          <t>Nan</t>
        </is>
      </c>
      <c r="AF42" s="17" t="inlineStr">
        <is>
          <t>Nan</t>
        </is>
      </c>
      <c r="AG42" s="17" t="inlineStr">
        <is>
          <t>Nan</t>
        </is>
      </c>
      <c r="AH42" s="17" t="inlineStr">
        <is>
          <t>Nan</t>
        </is>
      </c>
      <c r="AI42" s="17" t="inlineStr">
        <is>
          <t>Nan</t>
        </is>
      </c>
      <c r="AJ42" s="17" t="inlineStr">
        <is>
          <t>Nan</t>
        </is>
      </c>
      <c r="AK42" s="17" t="inlineStr">
        <is>
          <t>Nan</t>
        </is>
      </c>
      <c r="AL42" s="17" t="inlineStr">
        <is>
          <t>Nan</t>
        </is>
      </c>
      <c r="AM42" s="63" t="n">
        <v>2</v>
      </c>
      <c r="AN42" s="65" t="n">
        <v>4</v>
      </c>
      <c r="AO42" s="65" t="n">
        <v>4</v>
      </c>
      <c r="AP42" s="65" t="n">
        <v>4</v>
      </c>
      <c r="AQ42" s="65" t="n">
        <v>4</v>
      </c>
      <c r="AR42" s="65" t="n">
        <v>5</v>
      </c>
      <c r="AS42" s="63" t="n">
        <v>3</v>
      </c>
    </row>
    <row r="43" ht="18.75" customHeight="1">
      <c r="A43" s="7" t="inlineStr">
        <is>
          <t xml:space="preserve">JOUAV CW-007 </t>
        </is>
      </c>
      <c r="B43" s="10" t="inlineStr">
        <is>
          <t>Nan</t>
        </is>
      </c>
      <c r="C43" s="79" t="n">
        <v>5000</v>
      </c>
      <c r="D43" s="79" t="n">
        <v>18.31</v>
      </c>
      <c r="E43" s="10" t="n">
        <v>19500</v>
      </c>
      <c r="F43" s="10" t="inlineStr">
        <is>
          <t>Nan</t>
        </is>
      </c>
      <c r="G43" s="12" t="inlineStr">
        <is>
          <t>Nan</t>
        </is>
      </c>
      <c r="H43" s="12" t="inlineStr">
        <is>
          <t>Nan</t>
        </is>
      </c>
      <c r="I43" s="12" t="inlineStr">
        <is>
          <t>Nan</t>
        </is>
      </c>
      <c r="J43" s="12" t="inlineStr">
        <is>
          <t>Nan</t>
        </is>
      </c>
      <c r="K43" s="12" t="inlineStr">
        <is>
          <t>Nan</t>
        </is>
      </c>
      <c r="L43" s="14" t="n">
        <v>7</v>
      </c>
      <c r="M43" s="85" t="n">
        <v>56.3</v>
      </c>
      <c r="N43" s="15" t="n">
        <v>0.92</v>
      </c>
      <c r="O43" s="15" t="inlineStr">
        <is>
          <t>Nan</t>
        </is>
      </c>
      <c r="P43" s="15" t="inlineStr">
        <is>
          <t>Nan</t>
        </is>
      </c>
      <c r="Q43" s="15" t="inlineStr">
        <is>
          <t>Nan</t>
        </is>
      </c>
      <c r="R43" s="15" t="inlineStr">
        <is>
          <t>Nan</t>
        </is>
      </c>
      <c r="S43" s="17" t="inlineStr">
        <is>
          <t>Nan</t>
        </is>
      </c>
      <c r="T43" s="17" t="inlineStr">
        <is>
          <t>Nan</t>
        </is>
      </c>
      <c r="U43" s="17" t="n">
        <v>1</v>
      </c>
      <c r="V43" s="17" t="inlineStr">
        <is>
          <t>Nan</t>
        </is>
      </c>
      <c r="W43" s="17" t="n">
        <v>17</v>
      </c>
      <c r="X43" s="17" t="inlineStr">
        <is>
          <t>Nan</t>
        </is>
      </c>
      <c r="Y43" s="17" t="inlineStr">
        <is>
          <t>Nan</t>
        </is>
      </c>
      <c r="Z43" s="17" t="inlineStr">
        <is>
          <t>Nan</t>
        </is>
      </c>
      <c r="AA43" s="83" t="n">
        <v>6</v>
      </c>
      <c r="AB43" s="17" t="inlineStr">
        <is>
          <t>Nan</t>
        </is>
      </c>
      <c r="AC43" s="17" t="inlineStr">
        <is>
          <t>Nan</t>
        </is>
      </c>
      <c r="AD43" s="17" t="inlineStr">
        <is>
          <t>Nan</t>
        </is>
      </c>
      <c r="AE43" s="17" t="inlineStr">
        <is>
          <t>Nan</t>
        </is>
      </c>
      <c r="AF43" s="17" t="inlineStr">
        <is>
          <t>Nan</t>
        </is>
      </c>
      <c r="AG43" s="17" t="inlineStr">
        <is>
          <t>Nan</t>
        </is>
      </c>
      <c r="AH43" s="17" t="inlineStr">
        <is>
          <t>Nan</t>
        </is>
      </c>
      <c r="AI43" s="17" t="inlineStr">
        <is>
          <t>Nan</t>
        </is>
      </c>
      <c r="AJ43" s="17" t="inlineStr">
        <is>
          <t>Nan</t>
        </is>
      </c>
      <c r="AK43" s="17" t="inlineStr">
        <is>
          <t>Nan</t>
        </is>
      </c>
      <c r="AL43" s="17" t="inlineStr">
        <is>
          <t>Nan</t>
        </is>
      </c>
      <c r="AM43" s="63" t="n">
        <v>2</v>
      </c>
      <c r="AN43" s="65" t="n">
        <v>1</v>
      </c>
      <c r="AO43" s="65" t="n">
        <v>1</v>
      </c>
      <c r="AP43" s="65" t="n">
        <v>4</v>
      </c>
      <c r="AQ43" s="65" t="n">
        <v>1</v>
      </c>
      <c r="AR43" s="65" t="n">
        <v>1</v>
      </c>
      <c r="AS43" s="63" t="n">
        <v>3</v>
      </c>
    </row>
    <row r="44" ht="18.75" customHeight="1">
      <c r="A44" s="7" t="inlineStr">
        <is>
          <t>JOUAV CW-15</t>
        </is>
      </c>
      <c r="B44" s="10" t="inlineStr">
        <is>
          <t>Nan</t>
        </is>
      </c>
      <c r="C44" s="79" t="n">
        <v>5000</v>
      </c>
      <c r="D44" s="79" t="n">
        <v>18.25</v>
      </c>
      <c r="E44" s="10" t="n">
        <v>20000</v>
      </c>
      <c r="F44" s="10" t="inlineStr">
        <is>
          <t>Nan</t>
        </is>
      </c>
      <c r="G44" s="12" t="inlineStr">
        <is>
          <t>Nan</t>
        </is>
      </c>
      <c r="H44" s="12" t="inlineStr">
        <is>
          <t>Nan</t>
        </is>
      </c>
      <c r="I44" s="12" t="n">
        <v>2.06</v>
      </c>
      <c r="J44" s="12" t="inlineStr">
        <is>
          <t>Nan</t>
        </is>
      </c>
      <c r="K44" s="12" t="inlineStr">
        <is>
          <t>Nan</t>
        </is>
      </c>
      <c r="L44" s="14" t="n">
        <v>17</v>
      </c>
      <c r="M44" s="85" t="n">
        <v>182.95</v>
      </c>
      <c r="N44" s="15" t="n">
        <v>3</v>
      </c>
      <c r="O44" s="84" t="n">
        <v>28.57934260173136</v>
      </c>
      <c r="P44" s="15" t="inlineStr">
        <is>
          <t>Nan</t>
        </is>
      </c>
      <c r="Q44" s="15" t="inlineStr">
        <is>
          <t>Nan</t>
        </is>
      </c>
      <c r="R44" s="15" t="inlineStr">
        <is>
          <t>Nan</t>
        </is>
      </c>
      <c r="S44" s="84" t="n">
        <v>3.319601467579071</v>
      </c>
      <c r="T44" s="17" t="inlineStr">
        <is>
          <t>Nan</t>
        </is>
      </c>
      <c r="U44" s="17" t="n">
        <v>3</v>
      </c>
      <c r="V44" s="17" t="inlineStr">
        <is>
          <t>Nan</t>
        </is>
      </c>
      <c r="W44" s="17" t="n">
        <v>16.94</v>
      </c>
      <c r="X44" s="17" t="inlineStr">
        <is>
          <t>Nan</t>
        </is>
      </c>
      <c r="Y44" s="17" t="inlineStr">
        <is>
          <t>Nan</t>
        </is>
      </c>
      <c r="Z44" s="17" t="inlineStr">
        <is>
          <t>Nan</t>
        </is>
      </c>
      <c r="AA44" s="83" t="n">
        <v>14</v>
      </c>
      <c r="AB44" s="17" t="inlineStr">
        <is>
          <t>Nan</t>
        </is>
      </c>
      <c r="AC44" s="17" t="n">
        <v>13.8</v>
      </c>
      <c r="AD44" s="17" t="n">
        <v>50</v>
      </c>
      <c r="AE44" s="17" t="inlineStr">
        <is>
          <t>Nan</t>
        </is>
      </c>
      <c r="AF44" s="17" t="inlineStr">
        <is>
          <t>Nan</t>
        </is>
      </c>
      <c r="AG44" s="17" t="inlineStr">
        <is>
          <t>Nan</t>
        </is>
      </c>
      <c r="AH44" s="17" t="inlineStr">
        <is>
          <t>Nan</t>
        </is>
      </c>
      <c r="AI44" s="17" t="inlineStr">
        <is>
          <t>Nan</t>
        </is>
      </c>
      <c r="AJ44" s="17" t="inlineStr">
        <is>
          <t>Nan</t>
        </is>
      </c>
      <c r="AK44" s="17" t="inlineStr">
        <is>
          <t>Nan</t>
        </is>
      </c>
      <c r="AL44" s="17" t="inlineStr">
        <is>
          <t>Nan</t>
        </is>
      </c>
      <c r="AM44" s="63" t="n">
        <v>2</v>
      </c>
      <c r="AN44" s="65" t="n">
        <v>1</v>
      </c>
      <c r="AO44" s="65" t="n">
        <v>1</v>
      </c>
      <c r="AP44" s="65" t="n">
        <v>4</v>
      </c>
      <c r="AQ44" s="65" t="n">
        <v>1</v>
      </c>
      <c r="AR44" s="65" t="n">
        <v>1</v>
      </c>
      <c r="AS44" s="63" t="n">
        <v>3</v>
      </c>
    </row>
    <row r="45" ht="18.75" customHeight="1">
      <c r="A45" s="7" t="inlineStr">
        <is>
          <t>JOUAV CW-25E</t>
        </is>
      </c>
      <c r="B45" s="10" t="inlineStr">
        <is>
          <t>Nan</t>
        </is>
      </c>
      <c r="C45" s="79" t="n">
        <v>5000</v>
      </c>
      <c r="D45" s="79" t="n">
        <v>20.9</v>
      </c>
      <c r="E45" s="10" t="n">
        <v>13000</v>
      </c>
      <c r="F45" s="10" t="inlineStr">
        <is>
          <t>Nan</t>
        </is>
      </c>
      <c r="G45" s="12" t="inlineStr">
        <is>
          <t>Nan</t>
        </is>
      </c>
      <c r="H45" s="12" t="inlineStr">
        <is>
          <t>Nan</t>
        </is>
      </c>
      <c r="I45" s="12" t="n">
        <v>2.18</v>
      </c>
      <c r="J45" s="12" t="inlineStr">
        <is>
          <t>Nan</t>
        </is>
      </c>
      <c r="K45" s="12" t="inlineStr">
        <is>
          <t>Nan</t>
        </is>
      </c>
      <c r="L45" s="14" t="n">
        <v>31.58</v>
      </c>
      <c r="M45" s="85" t="n">
        <v>244.44</v>
      </c>
      <c r="N45" s="15" t="n">
        <v>3.5</v>
      </c>
      <c r="O45" s="15" t="inlineStr">
        <is>
          <t>Nan</t>
        </is>
      </c>
      <c r="P45" s="15" t="inlineStr">
        <is>
          <t>Nan</t>
        </is>
      </c>
      <c r="Q45" s="15" t="inlineStr">
        <is>
          <t>Nan</t>
        </is>
      </c>
      <c r="R45" s="15" t="inlineStr">
        <is>
          <t>Nan</t>
        </is>
      </c>
      <c r="S45" s="17" t="n">
        <v>4.35</v>
      </c>
      <c r="T45" s="17" t="inlineStr">
        <is>
          <t>Nan</t>
        </is>
      </c>
      <c r="U45" s="17" t="n">
        <v>6</v>
      </c>
      <c r="V45" s="17" t="inlineStr">
        <is>
          <t>Nan</t>
        </is>
      </c>
      <c r="W45" s="17" t="n">
        <v>19.4</v>
      </c>
      <c r="X45" s="17" t="inlineStr">
        <is>
          <t>Nan</t>
        </is>
      </c>
      <c r="Y45" s="17" t="inlineStr">
        <is>
          <t>Nan</t>
        </is>
      </c>
      <c r="Z45" s="17" t="inlineStr">
        <is>
          <t>Nan</t>
        </is>
      </c>
      <c r="AA45" s="83" t="n">
        <v>25.58</v>
      </c>
      <c r="AB45" s="17" t="inlineStr">
        <is>
          <t>Nan</t>
        </is>
      </c>
      <c r="AC45" s="17" t="n">
        <v>17</v>
      </c>
      <c r="AD45" s="17" t="n">
        <v>200</v>
      </c>
      <c r="AE45" s="17" t="inlineStr">
        <is>
          <t>Nan</t>
        </is>
      </c>
      <c r="AF45" s="17" t="inlineStr">
        <is>
          <t>Nan</t>
        </is>
      </c>
      <c r="AG45" s="17" t="inlineStr">
        <is>
          <t>Nan</t>
        </is>
      </c>
      <c r="AH45" s="17" t="inlineStr">
        <is>
          <t>Nan</t>
        </is>
      </c>
      <c r="AI45" s="17" t="inlineStr">
        <is>
          <t>Nan</t>
        </is>
      </c>
      <c r="AJ45" s="17" t="inlineStr">
        <is>
          <t>Nan</t>
        </is>
      </c>
      <c r="AK45" s="17" t="inlineStr">
        <is>
          <t>Nan</t>
        </is>
      </c>
      <c r="AL45" s="17" t="inlineStr">
        <is>
          <t>Nan</t>
        </is>
      </c>
      <c r="AM45" s="63" t="n">
        <v>2</v>
      </c>
      <c r="AN45" s="65" t="n">
        <v>1</v>
      </c>
      <c r="AO45" s="65" t="n">
        <v>1</v>
      </c>
      <c r="AP45" s="65" t="n">
        <v>4</v>
      </c>
      <c r="AQ45" s="65" t="n">
        <v>1</v>
      </c>
      <c r="AR45" s="65" t="n">
        <v>1</v>
      </c>
      <c r="AS45" s="63" t="n">
        <v>3</v>
      </c>
    </row>
    <row r="46" ht="18.75" customHeight="1">
      <c r="A46" s="7" t="inlineStr">
        <is>
          <t>JOUAV CW-25H</t>
        </is>
      </c>
      <c r="B46" s="10" t="inlineStr">
        <is>
          <t>Nan</t>
        </is>
      </c>
      <c r="C46" s="79" t="n">
        <v>5000</v>
      </c>
      <c r="D46" s="79" t="n">
        <v>23.92</v>
      </c>
      <c r="E46" s="10" t="inlineStr">
        <is>
          <t>Nan</t>
        </is>
      </c>
      <c r="F46" s="10" t="inlineStr">
        <is>
          <t>Nan</t>
        </is>
      </c>
      <c r="G46" s="84" t="n">
        <v>1.094596335388818</v>
      </c>
      <c r="H46" s="12" t="inlineStr">
        <is>
          <t>Nan</t>
        </is>
      </c>
      <c r="I46" s="12" t="n">
        <v>2.1</v>
      </c>
      <c r="J46" s="12" t="inlineStr">
        <is>
          <t>Nan</t>
        </is>
      </c>
      <c r="K46" s="12" t="inlineStr">
        <is>
          <t>Nan</t>
        </is>
      </c>
      <c r="L46" s="14" t="n">
        <v>31</v>
      </c>
      <c r="M46" s="15" t="n">
        <v>435</v>
      </c>
      <c r="N46" s="15" t="n">
        <v>5.5</v>
      </c>
      <c r="O46" s="84" t="n">
        <v>30.5771134075133</v>
      </c>
      <c r="P46" s="15" t="inlineStr">
        <is>
          <t>Nan</t>
        </is>
      </c>
      <c r="Q46" s="15" t="inlineStr">
        <is>
          <t>Nan</t>
        </is>
      </c>
      <c r="R46" s="15" t="inlineStr">
        <is>
          <t>Nan</t>
        </is>
      </c>
      <c r="S46" s="17" t="n">
        <v>4.4</v>
      </c>
      <c r="T46" s="17" t="inlineStr">
        <is>
          <t>Nan</t>
        </is>
      </c>
      <c r="U46" s="17" t="n">
        <v>4</v>
      </c>
      <c r="V46" s="17" t="inlineStr">
        <is>
          <t>Nan</t>
        </is>
      </c>
      <c r="W46" s="17" t="n">
        <v>22.2</v>
      </c>
      <c r="X46" s="17" t="inlineStr">
        <is>
          <t>Nan</t>
        </is>
      </c>
      <c r="Y46" s="17" t="inlineStr">
        <is>
          <t>Nan</t>
        </is>
      </c>
      <c r="Z46" s="17" t="inlineStr">
        <is>
          <t>Nan</t>
        </is>
      </c>
      <c r="AA46" s="83" t="n">
        <v>27</v>
      </c>
      <c r="AB46" s="17" t="inlineStr">
        <is>
          <t>Nan</t>
        </is>
      </c>
      <c r="AC46" s="17" t="inlineStr">
        <is>
          <t>Nan</t>
        </is>
      </c>
      <c r="AD46" s="17" t="n">
        <v>100</v>
      </c>
      <c r="AE46" s="17" t="inlineStr">
        <is>
          <t>Nan</t>
        </is>
      </c>
      <c r="AF46" s="17" t="inlineStr">
        <is>
          <t>Nan</t>
        </is>
      </c>
      <c r="AG46" s="17" t="inlineStr">
        <is>
          <t>Nan</t>
        </is>
      </c>
      <c r="AH46" s="17" t="inlineStr">
        <is>
          <t>Nan</t>
        </is>
      </c>
      <c r="AI46" s="17" t="inlineStr">
        <is>
          <t>Nan</t>
        </is>
      </c>
      <c r="AJ46" s="17" t="inlineStr">
        <is>
          <t>Nan</t>
        </is>
      </c>
      <c r="AK46" s="17" t="inlineStr">
        <is>
          <t>Nan</t>
        </is>
      </c>
      <c r="AL46" s="17" t="inlineStr">
        <is>
          <t>Nan</t>
        </is>
      </c>
      <c r="AM46" s="63" t="n">
        <v>2</v>
      </c>
      <c r="AN46" s="65" t="n">
        <v>4</v>
      </c>
      <c r="AO46" s="65" t="n">
        <v>1</v>
      </c>
      <c r="AP46" s="65" t="n">
        <v>4</v>
      </c>
      <c r="AQ46" s="65" t="n">
        <v>1</v>
      </c>
      <c r="AR46" s="65" t="n">
        <v>1</v>
      </c>
      <c r="AS46" s="63" t="n">
        <v>3</v>
      </c>
    </row>
    <row r="47" ht="18.75" customHeight="1">
      <c r="A47" s="7" t="inlineStr">
        <is>
          <t xml:space="preserve">JOUAV CW-25 </t>
        </is>
      </c>
      <c r="B47" s="10" t="inlineStr">
        <is>
          <t>Nan</t>
        </is>
      </c>
      <c r="C47" s="79" t="n">
        <v>5000</v>
      </c>
      <c r="D47" s="79" t="n">
        <v>24.78</v>
      </c>
      <c r="E47" s="10" t="n">
        <v>22000</v>
      </c>
      <c r="F47" s="10" t="inlineStr">
        <is>
          <t>Nan</t>
        </is>
      </c>
      <c r="G47" s="12" t="inlineStr">
        <is>
          <t>Nan</t>
        </is>
      </c>
      <c r="H47" s="12" t="inlineStr">
        <is>
          <t>Nan</t>
        </is>
      </c>
      <c r="I47" s="84" t="n">
        <v>2.076696702562316</v>
      </c>
      <c r="J47" s="12" t="inlineStr">
        <is>
          <t>Nan</t>
        </is>
      </c>
      <c r="K47" s="12" t="inlineStr">
        <is>
          <t>Nan</t>
        </is>
      </c>
      <c r="L47" s="14" t="n">
        <v>29.5</v>
      </c>
      <c r="M47" s="85" t="n">
        <v>496.8</v>
      </c>
      <c r="N47" s="15" t="n">
        <v>6</v>
      </c>
      <c r="O47" s="15" t="inlineStr">
        <is>
          <t>Nan</t>
        </is>
      </c>
      <c r="P47" s="15" t="inlineStr">
        <is>
          <t>Nan</t>
        </is>
      </c>
      <c r="Q47" s="15" t="inlineStr">
        <is>
          <t>Nan</t>
        </is>
      </c>
      <c r="R47" s="15" t="inlineStr">
        <is>
          <t>Nan</t>
        </is>
      </c>
      <c r="S47" s="84" t="n">
        <v>3.910630753808647</v>
      </c>
      <c r="T47" s="17" t="inlineStr">
        <is>
          <t>Nan</t>
        </is>
      </c>
      <c r="U47" s="17" t="n">
        <v>6</v>
      </c>
      <c r="V47" s="17" t="inlineStr">
        <is>
          <t>Nan</t>
        </is>
      </c>
      <c r="W47" s="17" t="n">
        <v>23</v>
      </c>
      <c r="X47" s="17" t="inlineStr">
        <is>
          <t>Nan</t>
        </is>
      </c>
      <c r="Y47" s="17" t="inlineStr">
        <is>
          <t>Nan</t>
        </is>
      </c>
      <c r="Z47" s="17" t="inlineStr">
        <is>
          <t>Nan</t>
        </is>
      </c>
      <c r="AA47" s="83" t="n">
        <v>23.5</v>
      </c>
      <c r="AB47" s="17" t="inlineStr">
        <is>
          <t>Nan</t>
        </is>
      </c>
      <c r="AC47" s="17" t="inlineStr">
        <is>
          <t>Nan</t>
        </is>
      </c>
      <c r="AD47" s="17" t="n">
        <v>200</v>
      </c>
      <c r="AE47" s="17" t="inlineStr">
        <is>
          <t>Nan</t>
        </is>
      </c>
      <c r="AF47" s="17" t="inlineStr">
        <is>
          <t>Nan</t>
        </is>
      </c>
      <c r="AG47" s="17" t="inlineStr">
        <is>
          <t>Nan</t>
        </is>
      </c>
      <c r="AH47" s="17" t="inlineStr">
        <is>
          <t>Nan</t>
        </is>
      </c>
      <c r="AI47" s="17" t="inlineStr">
        <is>
          <t>Nan</t>
        </is>
      </c>
      <c r="AJ47" s="17" t="inlineStr">
        <is>
          <t>Nan</t>
        </is>
      </c>
      <c r="AK47" s="17" t="inlineStr">
        <is>
          <t>Nan</t>
        </is>
      </c>
      <c r="AL47" s="17" t="inlineStr">
        <is>
          <t>Nan</t>
        </is>
      </c>
      <c r="AM47" s="63" t="n">
        <v>2</v>
      </c>
      <c r="AN47" s="65" t="n">
        <v>2</v>
      </c>
      <c r="AO47" s="65" t="n">
        <v>1</v>
      </c>
      <c r="AP47" s="65" t="n">
        <v>4</v>
      </c>
      <c r="AQ47" s="65" t="n">
        <v>1</v>
      </c>
      <c r="AR47" s="65" t="n">
        <v>1</v>
      </c>
      <c r="AS47" s="63" t="n">
        <v>3</v>
      </c>
    </row>
    <row r="48" ht="18.75" customHeight="1">
      <c r="A48" s="7" t="inlineStr">
        <is>
          <t>JOUAV CW-30E</t>
        </is>
      </c>
      <c r="B48" s="10" t="inlineStr">
        <is>
          <t>Nan</t>
        </is>
      </c>
      <c r="C48" s="79" t="n">
        <v>5000</v>
      </c>
      <c r="D48" s="79" t="n">
        <v>26.93</v>
      </c>
      <c r="E48" s="10" t="n">
        <v>20000</v>
      </c>
      <c r="F48" s="10" t="inlineStr">
        <is>
          <t>Nan</t>
        </is>
      </c>
      <c r="G48" s="12" t="inlineStr">
        <is>
          <t>Nan</t>
        </is>
      </c>
      <c r="H48" s="12" t="inlineStr">
        <is>
          <t>Nan</t>
        </is>
      </c>
      <c r="I48" s="12" t="n">
        <v>2.3</v>
      </c>
      <c r="J48" s="12" t="inlineStr">
        <is>
          <t>Nan</t>
        </is>
      </c>
      <c r="K48" s="12" t="inlineStr">
        <is>
          <t>Nan</t>
        </is>
      </c>
      <c r="L48" s="14" t="n">
        <v>38</v>
      </c>
      <c r="M48" s="85" t="n">
        <v>720</v>
      </c>
      <c r="N48" s="15" t="n">
        <v>8</v>
      </c>
      <c r="O48" s="15" t="inlineStr">
        <is>
          <t>Nan</t>
        </is>
      </c>
      <c r="P48" s="15" t="inlineStr">
        <is>
          <t>Nan</t>
        </is>
      </c>
      <c r="Q48" s="15" t="inlineStr">
        <is>
          <t>Nan</t>
        </is>
      </c>
      <c r="R48" s="15" t="inlineStr">
        <is>
          <t>Nan</t>
        </is>
      </c>
      <c r="S48" s="17" t="n">
        <v>4.4</v>
      </c>
      <c r="T48" s="17" t="inlineStr">
        <is>
          <t>Nan</t>
        </is>
      </c>
      <c r="U48" s="17" t="n">
        <v>10</v>
      </c>
      <c r="V48" s="17" t="inlineStr">
        <is>
          <t>Nan</t>
        </is>
      </c>
      <c r="W48" s="17" t="n">
        <v>25</v>
      </c>
      <c r="X48" s="17" t="inlineStr">
        <is>
          <t>Nan</t>
        </is>
      </c>
      <c r="Y48" s="17" t="inlineStr">
        <is>
          <t>Nan</t>
        </is>
      </c>
      <c r="Z48" s="17" t="inlineStr">
        <is>
          <t>Nan</t>
        </is>
      </c>
      <c r="AA48" s="83" t="n">
        <v>28</v>
      </c>
      <c r="AB48" s="17" t="inlineStr">
        <is>
          <t>Nan</t>
        </is>
      </c>
      <c r="AC48" s="17" t="inlineStr">
        <is>
          <t>Nan</t>
        </is>
      </c>
      <c r="AD48" s="17" t="n">
        <v>200</v>
      </c>
      <c r="AE48" s="17" t="inlineStr">
        <is>
          <t>Nan</t>
        </is>
      </c>
      <c r="AF48" s="17" t="inlineStr">
        <is>
          <t>Nan</t>
        </is>
      </c>
      <c r="AG48" s="17" t="inlineStr">
        <is>
          <t>Nan</t>
        </is>
      </c>
      <c r="AH48" s="17" t="inlineStr">
        <is>
          <t>Nan</t>
        </is>
      </c>
      <c r="AI48" s="17" t="inlineStr">
        <is>
          <t>Nan</t>
        </is>
      </c>
      <c r="AJ48" s="17" t="inlineStr">
        <is>
          <t>Nan</t>
        </is>
      </c>
      <c r="AK48" s="17" t="inlineStr">
        <is>
          <t>Nan</t>
        </is>
      </c>
      <c r="AL48" s="17" t="inlineStr">
        <is>
          <t>Nan</t>
        </is>
      </c>
      <c r="AM48" s="63" t="n">
        <v>2</v>
      </c>
      <c r="AN48" s="65" t="n">
        <v>1</v>
      </c>
      <c r="AO48" s="65" t="n">
        <v>4</v>
      </c>
      <c r="AP48" s="65" t="n">
        <v>4</v>
      </c>
      <c r="AQ48" s="65" t="n">
        <v>1</v>
      </c>
      <c r="AR48" s="65" t="n">
        <v>1</v>
      </c>
      <c r="AS48" s="63" t="n">
        <v>3</v>
      </c>
    </row>
    <row r="49" ht="18.75" customHeight="1">
      <c r="A49" s="7" t="inlineStr">
        <is>
          <t>JOUAV CW-80E</t>
        </is>
      </c>
      <c r="B49" s="10" t="inlineStr">
        <is>
          <t>Nan</t>
        </is>
      </c>
      <c r="C49" s="79" t="n">
        <v>5000</v>
      </c>
      <c r="D49" s="79" t="n">
        <v>35.87</v>
      </c>
      <c r="E49" s="10" t="n">
        <v>20000</v>
      </c>
      <c r="F49" s="10" t="inlineStr">
        <is>
          <t>Nan</t>
        </is>
      </c>
      <c r="G49" s="84" t="n">
        <v>2.615</v>
      </c>
      <c r="H49" s="12" t="inlineStr">
        <is>
          <t>Nan</t>
        </is>
      </c>
      <c r="I49" s="12" t="n">
        <v>3</v>
      </c>
      <c r="J49" s="12" t="inlineStr">
        <is>
          <t>Nan</t>
        </is>
      </c>
      <c r="K49" s="84" t="n">
        <v>0.375</v>
      </c>
      <c r="L49" s="14" t="n">
        <v>110</v>
      </c>
      <c r="M49" s="85" t="n">
        <v>1198.8</v>
      </c>
      <c r="N49" s="15" t="n">
        <v>10</v>
      </c>
      <c r="O49" s="15" t="n">
        <v>37.5</v>
      </c>
      <c r="P49" s="15" t="inlineStr">
        <is>
          <t>Nan</t>
        </is>
      </c>
      <c r="Q49" s="15" t="inlineStr">
        <is>
          <t>Nan</t>
        </is>
      </c>
      <c r="R49" s="15" t="inlineStr">
        <is>
          <t>Nan</t>
        </is>
      </c>
      <c r="S49" s="17" t="n">
        <v>5.2</v>
      </c>
      <c r="T49" s="17" t="inlineStr">
        <is>
          <t>Nan</t>
        </is>
      </c>
      <c r="U49" s="17" t="n">
        <v>25</v>
      </c>
      <c r="V49" s="17" t="inlineStr">
        <is>
          <t>Nan</t>
        </is>
      </c>
      <c r="W49" s="17" t="n">
        <v>33.3</v>
      </c>
      <c r="X49" s="17" t="inlineStr">
        <is>
          <t>Nan</t>
        </is>
      </c>
      <c r="Y49" s="17" t="inlineStr">
        <is>
          <t>Nan</t>
        </is>
      </c>
      <c r="Z49" s="17" t="inlineStr">
        <is>
          <t>Nan</t>
        </is>
      </c>
      <c r="AA49" s="83" t="n">
        <v>85</v>
      </c>
      <c r="AB49" s="17" t="inlineStr">
        <is>
          <t>Nan</t>
        </is>
      </c>
      <c r="AC49" s="17" t="n">
        <v>17</v>
      </c>
      <c r="AD49" s="17" t="n">
        <v>200</v>
      </c>
      <c r="AE49" s="17" t="inlineStr">
        <is>
          <t>Nan</t>
        </is>
      </c>
      <c r="AF49" s="17" t="inlineStr">
        <is>
          <t>Nan</t>
        </is>
      </c>
      <c r="AG49" s="17" t="inlineStr">
        <is>
          <t>Nan</t>
        </is>
      </c>
      <c r="AH49" s="17" t="inlineStr">
        <is>
          <t>Nan</t>
        </is>
      </c>
      <c r="AI49" s="17" t="inlineStr">
        <is>
          <t>Nan</t>
        </is>
      </c>
      <c r="AJ49" s="17" t="inlineStr">
        <is>
          <t>Nan</t>
        </is>
      </c>
      <c r="AK49" s="17" t="inlineStr">
        <is>
          <t>Nan</t>
        </is>
      </c>
      <c r="AL49" s="17" t="inlineStr">
        <is>
          <t>Nan</t>
        </is>
      </c>
      <c r="AM49" s="63" t="n">
        <v>2</v>
      </c>
      <c r="AN49" s="65" t="n">
        <v>1</v>
      </c>
      <c r="AO49" s="65" t="n">
        <v>2</v>
      </c>
      <c r="AP49" s="65" t="n">
        <v>4</v>
      </c>
      <c r="AQ49" s="65" t="n">
        <v>1</v>
      </c>
      <c r="AR49" s="65" t="n">
        <v>1</v>
      </c>
      <c r="AS49" s="63" t="n">
        <v>3</v>
      </c>
    </row>
    <row r="50" ht="18.75" customHeight="1">
      <c r="A50" s="7" t="inlineStr">
        <is>
          <t>L3Harris FVR–90</t>
        </is>
      </c>
      <c r="B50" s="11" t="inlineStr">
        <is>
          <t>Nan</t>
        </is>
      </c>
      <c r="C50" s="79" t="n">
        <v>5000</v>
      </c>
      <c r="D50" s="79" t="n">
        <v>27.69</v>
      </c>
      <c r="E50" s="10" t="inlineStr">
        <is>
          <t>Nan</t>
        </is>
      </c>
      <c r="F50" s="10" t="inlineStr">
        <is>
          <t>Nan</t>
        </is>
      </c>
      <c r="G50" s="12" t="inlineStr">
        <is>
          <t>Nan</t>
        </is>
      </c>
      <c r="H50" s="12" t="inlineStr">
        <is>
          <t>Nan</t>
        </is>
      </c>
      <c r="I50" s="84" t="n">
        <v>2.40942871239154</v>
      </c>
      <c r="J50" s="12" t="inlineStr">
        <is>
          <t>Nan</t>
        </is>
      </c>
      <c r="K50" s="12" t="inlineStr">
        <is>
          <t>Nan</t>
        </is>
      </c>
      <c r="L50" s="14" t="n">
        <v>54.4</v>
      </c>
      <c r="M50" s="15" t="n">
        <v>1500</v>
      </c>
      <c r="N50" s="15" t="n">
        <v>16</v>
      </c>
      <c r="O50" s="15" t="n">
        <v>33.4</v>
      </c>
      <c r="P50" s="15" t="inlineStr">
        <is>
          <t>Nan</t>
        </is>
      </c>
      <c r="Q50" s="15" t="inlineStr">
        <is>
          <t>Nan</t>
        </is>
      </c>
      <c r="R50" s="15" t="inlineStr">
        <is>
          <t>Nan</t>
        </is>
      </c>
      <c r="S50" s="17" t="n">
        <v>4.7</v>
      </c>
      <c r="T50" s="17" t="inlineStr">
        <is>
          <t>Nan</t>
        </is>
      </c>
      <c r="U50" s="17" t="n">
        <v>10</v>
      </c>
      <c r="V50" s="17" t="inlineStr">
        <is>
          <t>Nan</t>
        </is>
      </c>
      <c r="W50" s="17" t="n">
        <v>25.7</v>
      </c>
      <c r="X50" s="17" t="inlineStr">
        <is>
          <t>Nan</t>
        </is>
      </c>
      <c r="Y50" s="17" t="inlineStr">
        <is>
          <t>Nan</t>
        </is>
      </c>
      <c r="Z50" s="17" t="n">
        <v>31.75</v>
      </c>
      <c r="AA50" s="83" t="n">
        <v>44.4</v>
      </c>
      <c r="AB50" s="17" t="inlineStr">
        <is>
          <t>Nan</t>
        </is>
      </c>
      <c r="AC50" s="17" t="inlineStr">
        <is>
          <t>Nan</t>
        </is>
      </c>
      <c r="AD50" s="17" t="n">
        <v>100</v>
      </c>
      <c r="AE50" s="17" t="inlineStr">
        <is>
          <t>Nan</t>
        </is>
      </c>
      <c r="AF50" s="17" t="inlineStr">
        <is>
          <t>Nan</t>
        </is>
      </c>
      <c r="AG50" s="17" t="inlineStr">
        <is>
          <t>Nan</t>
        </is>
      </c>
      <c r="AH50" s="17" t="inlineStr">
        <is>
          <t>Nan</t>
        </is>
      </c>
      <c r="AI50" s="84" t="n">
        <v>2120.83178146858</v>
      </c>
      <c r="AJ50" s="17" t="inlineStr">
        <is>
          <t>Nan</t>
        </is>
      </c>
      <c r="AK50" s="17" t="inlineStr">
        <is>
          <t>Nan</t>
        </is>
      </c>
      <c r="AL50" s="17" t="inlineStr">
        <is>
          <t>Nan</t>
        </is>
      </c>
      <c r="AM50" s="63" t="n">
        <v>2</v>
      </c>
      <c r="AN50" s="65" t="n">
        <v>1</v>
      </c>
      <c r="AO50" s="65" t="n">
        <v>2</v>
      </c>
      <c r="AP50" s="65" t="n">
        <v>4</v>
      </c>
      <c r="AQ50" s="65" t="n">
        <v>1</v>
      </c>
      <c r="AR50" s="65" t="n">
        <v>1</v>
      </c>
      <c r="AS50" s="63" t="n">
        <v>1</v>
      </c>
    </row>
    <row r="51" ht="18.75" customHeight="1">
      <c r="A51" s="7" t="inlineStr">
        <is>
          <t>SwoopAero Kite™</t>
        </is>
      </c>
      <c r="B51" s="10" t="inlineStr">
        <is>
          <t>Nan</t>
        </is>
      </c>
      <c r="C51" s="79" t="n">
        <v>5000</v>
      </c>
      <c r="D51" s="79" t="n">
        <v>36.41</v>
      </c>
      <c r="E51" s="10" t="n">
        <v>10000</v>
      </c>
      <c r="F51" s="10" t="inlineStr">
        <is>
          <t>Nan</t>
        </is>
      </c>
      <c r="G51" s="12" t="inlineStr">
        <is>
          <t>Nan</t>
        </is>
      </c>
      <c r="H51" s="12" t="inlineStr">
        <is>
          <t>Nan</t>
        </is>
      </c>
      <c r="I51" s="84" t="n">
        <v>1.875452917199553</v>
      </c>
      <c r="J51" s="12" t="inlineStr">
        <is>
          <t>Nan</t>
        </is>
      </c>
      <c r="K51" s="12" t="inlineStr">
        <is>
          <t>Nan</t>
        </is>
      </c>
      <c r="L51" s="14" t="n">
        <v>24.9</v>
      </c>
      <c r="M51" s="15" t="n">
        <v>225</v>
      </c>
      <c r="N51" s="85" t="n">
        <v>1.85</v>
      </c>
      <c r="O51" s="15" t="n">
        <v>55.5</v>
      </c>
      <c r="P51" s="15" t="inlineStr">
        <is>
          <t>Nan</t>
        </is>
      </c>
      <c r="Q51" s="15" t="inlineStr">
        <is>
          <t>Nan</t>
        </is>
      </c>
      <c r="R51" s="15" t="inlineStr">
        <is>
          <t>Nan</t>
        </is>
      </c>
      <c r="S51" s="17" t="n">
        <v>2.7</v>
      </c>
      <c r="T51" s="17" t="inlineStr">
        <is>
          <t>Nan</t>
        </is>
      </c>
      <c r="U51" s="84" t="n">
        <v>4.317358332364449</v>
      </c>
      <c r="V51" s="17" t="inlineStr">
        <is>
          <t>Nan</t>
        </is>
      </c>
      <c r="W51" s="17" t="n">
        <v>33.8</v>
      </c>
      <c r="X51" s="17" t="inlineStr">
        <is>
          <t>Nan</t>
        </is>
      </c>
      <c r="Y51" s="17" t="inlineStr">
        <is>
          <t>Nan</t>
        </is>
      </c>
      <c r="Z51" s="17" t="inlineStr">
        <is>
          <t>Nan</t>
        </is>
      </c>
      <c r="AA51" s="84" t="n">
        <v>13.85622499128004</v>
      </c>
      <c r="AB51" s="17" t="inlineStr">
        <is>
          <t>Nan</t>
        </is>
      </c>
      <c r="AC51" s="17" t="inlineStr">
        <is>
          <t>Nan</t>
        </is>
      </c>
      <c r="AD51" s="17" t="inlineStr">
        <is>
          <t>Nan</t>
        </is>
      </c>
      <c r="AE51" s="17" t="inlineStr">
        <is>
          <t>Nan</t>
        </is>
      </c>
      <c r="AF51" s="17" t="inlineStr">
        <is>
          <t>Nan</t>
        </is>
      </c>
      <c r="AG51" s="17" t="inlineStr">
        <is>
          <t>Nan</t>
        </is>
      </c>
      <c r="AH51" s="17" t="inlineStr">
        <is>
          <t>Nan</t>
        </is>
      </c>
      <c r="AI51" s="17" t="inlineStr">
        <is>
          <t>Nan</t>
        </is>
      </c>
      <c r="AJ51" s="17" t="inlineStr">
        <is>
          <t>Nan</t>
        </is>
      </c>
      <c r="AK51" s="17" t="inlineStr">
        <is>
          <t>Nan</t>
        </is>
      </c>
      <c r="AL51" s="17" t="inlineStr">
        <is>
          <t>Nan</t>
        </is>
      </c>
      <c r="AM51" s="63" t="n">
        <v>2</v>
      </c>
      <c r="AN51" s="65" t="n">
        <v>1</v>
      </c>
      <c r="AO51" s="65" t="n">
        <v>1</v>
      </c>
      <c r="AP51" s="65" t="n">
        <v>4</v>
      </c>
      <c r="AQ51" s="65" t="n">
        <v>2</v>
      </c>
      <c r="AR51" s="65" t="n">
        <v>1</v>
      </c>
      <c r="AS51" s="63" t="n">
        <v>3</v>
      </c>
    </row>
    <row r="52" ht="18.75" customHeight="1">
      <c r="A52" s="61" t="inlineStr">
        <is>
          <t>YANGDA Sky Whale Heavy Lift Long Endurance Electric VTOL Drone</t>
        </is>
      </c>
      <c r="B52" s="10" t="inlineStr">
        <is>
          <t>Nan</t>
        </is>
      </c>
      <c r="C52" s="79" t="n">
        <v>5000</v>
      </c>
      <c r="D52" s="79" t="n">
        <v>26.93</v>
      </c>
      <c r="E52" s="10" t="n">
        <v>15000</v>
      </c>
      <c r="F52" s="10" t="n">
        <v>16</v>
      </c>
      <c r="G52" s="12" t="inlineStr">
        <is>
          <t>Nan</t>
        </is>
      </c>
      <c r="H52" s="12" t="inlineStr">
        <is>
          <t>Nan</t>
        </is>
      </c>
      <c r="I52" s="84" t="n">
        <v>1.878382778042529</v>
      </c>
      <c r="J52" s="12" t="inlineStr">
        <is>
          <t>Nan</t>
        </is>
      </c>
      <c r="K52" s="12" t="inlineStr">
        <is>
          <t>Nan</t>
        </is>
      </c>
      <c r="L52" s="14" t="n">
        <v>34</v>
      </c>
      <c r="M52" s="85" t="n">
        <v>315</v>
      </c>
      <c r="N52" s="15" t="n">
        <v>3.5</v>
      </c>
      <c r="O52" s="15" t="n">
        <v>33.5</v>
      </c>
      <c r="P52" s="15" t="inlineStr">
        <is>
          <t>Nan</t>
        </is>
      </c>
      <c r="Q52" s="15" t="n">
        <v>4</v>
      </c>
      <c r="R52" s="15" t="inlineStr">
        <is>
          <t>Nan</t>
        </is>
      </c>
      <c r="S52" s="84" t="n">
        <v>3.513988347129308</v>
      </c>
      <c r="T52" s="17" t="inlineStr">
        <is>
          <t>Nan</t>
        </is>
      </c>
      <c r="U52" s="17" t="n">
        <v>10</v>
      </c>
      <c r="V52" s="17" t="inlineStr">
        <is>
          <t>Nan</t>
        </is>
      </c>
      <c r="W52" s="17" t="n">
        <v>25</v>
      </c>
      <c r="X52" s="17" t="inlineStr">
        <is>
          <t>Nan</t>
        </is>
      </c>
      <c r="Y52" s="17" t="n">
        <v>7.45</v>
      </c>
      <c r="Z52" s="17" t="n">
        <v>16</v>
      </c>
      <c r="AA52" s="83" t="n">
        <v>24</v>
      </c>
      <c r="AB52" s="17" t="inlineStr">
        <is>
          <t>Nan</t>
        </is>
      </c>
      <c r="AC52" s="17" t="inlineStr">
        <is>
          <t>Nan</t>
        </is>
      </c>
      <c r="AD52" s="84" t="n">
        <v>63.54641494394343</v>
      </c>
      <c r="AE52" s="17" t="inlineStr">
        <is>
          <t>Nan</t>
        </is>
      </c>
      <c r="AF52" s="17" t="inlineStr">
        <is>
          <t>Nan</t>
        </is>
      </c>
      <c r="AG52" s="17" t="inlineStr">
        <is>
          <t>Nan</t>
        </is>
      </c>
      <c r="AH52" s="17" t="inlineStr">
        <is>
          <t>Nan</t>
        </is>
      </c>
      <c r="AI52" s="17" t="inlineStr">
        <is>
          <t>Nan</t>
        </is>
      </c>
      <c r="AJ52" s="17" t="inlineStr">
        <is>
          <t>Nan</t>
        </is>
      </c>
      <c r="AK52" s="17" t="inlineStr">
        <is>
          <t>Nan</t>
        </is>
      </c>
      <c r="AL52" s="17" t="inlineStr">
        <is>
          <t>Nan</t>
        </is>
      </c>
      <c r="AM52" s="63" t="n">
        <v>2</v>
      </c>
      <c r="AN52" s="65" t="n">
        <v>1</v>
      </c>
      <c r="AO52" s="65" t="n">
        <v>1</v>
      </c>
      <c r="AP52" s="65" t="n">
        <v>4</v>
      </c>
      <c r="AQ52" s="65" t="n">
        <v>1</v>
      </c>
      <c r="AR52" s="65" t="n">
        <v>1</v>
      </c>
      <c r="AS52" s="63" t="n">
        <v>3</v>
      </c>
    </row>
    <row r="53" ht="18.75" customHeight="1">
      <c r="A53" s="61" t="inlineStr">
        <is>
          <t>YANGDA Sky Whale Max Electric Heavy Lift Long Endurance VTOL Drone</t>
        </is>
      </c>
      <c r="B53" s="11" t="inlineStr">
        <is>
          <t>Nan</t>
        </is>
      </c>
      <c r="C53" s="78" t="n">
        <v>5000</v>
      </c>
      <c r="D53" s="79" t="n">
        <v>26.93</v>
      </c>
      <c r="E53" s="11" t="n">
        <v>15000</v>
      </c>
      <c r="F53" s="10" t="n">
        <v>16</v>
      </c>
      <c r="G53" s="12" t="inlineStr">
        <is>
          <t>Nan</t>
        </is>
      </c>
      <c r="H53" s="12" t="inlineStr">
        <is>
          <t>Nan</t>
        </is>
      </c>
      <c r="I53" s="12" t="inlineStr">
        <is>
          <t>Nan</t>
        </is>
      </c>
      <c r="J53" s="12" t="inlineStr">
        <is>
          <t>Nan</t>
        </is>
      </c>
      <c r="K53" s="12" t="inlineStr">
        <is>
          <t>Nan</t>
        </is>
      </c>
      <c r="L53" s="14" t="n">
        <v>68</v>
      </c>
      <c r="M53" s="85" t="n">
        <v>360</v>
      </c>
      <c r="N53" s="15" t="n">
        <v>4</v>
      </c>
      <c r="O53" s="15" t="n">
        <v>36.1</v>
      </c>
      <c r="P53" s="15" t="inlineStr">
        <is>
          <t>Nan</t>
        </is>
      </c>
      <c r="Q53" s="15" t="n">
        <v>4</v>
      </c>
      <c r="R53" s="15" t="inlineStr">
        <is>
          <t>Nan</t>
        </is>
      </c>
      <c r="S53" s="17" t="inlineStr">
        <is>
          <t>Nan</t>
        </is>
      </c>
      <c r="T53" s="17" t="inlineStr">
        <is>
          <t>Nan</t>
        </is>
      </c>
      <c r="U53" s="17" t="n">
        <v>20</v>
      </c>
      <c r="V53" s="17" t="inlineStr">
        <is>
          <t>Nan</t>
        </is>
      </c>
      <c r="W53" s="17" t="n">
        <v>25</v>
      </c>
      <c r="X53" s="17" t="inlineStr">
        <is>
          <t>Nan</t>
        </is>
      </c>
      <c r="Y53" s="17" t="inlineStr">
        <is>
          <t>Nan</t>
        </is>
      </c>
      <c r="Z53" s="17" t="n">
        <v>32</v>
      </c>
      <c r="AA53" s="83" t="n">
        <v>48</v>
      </c>
      <c r="AB53" s="17" t="inlineStr">
        <is>
          <t>Nan</t>
        </is>
      </c>
      <c r="AC53" s="17" t="inlineStr">
        <is>
          <t>Nan</t>
        </is>
      </c>
      <c r="AD53" s="17" t="inlineStr">
        <is>
          <t>Nan</t>
        </is>
      </c>
      <c r="AE53" s="17" t="inlineStr">
        <is>
          <t>Nan</t>
        </is>
      </c>
      <c r="AF53" s="17" t="inlineStr">
        <is>
          <t>Nan</t>
        </is>
      </c>
      <c r="AG53" s="17" t="inlineStr">
        <is>
          <t>Nan</t>
        </is>
      </c>
      <c r="AH53" s="17" t="inlineStr">
        <is>
          <t>Nan</t>
        </is>
      </c>
      <c r="AI53" s="17" t="inlineStr">
        <is>
          <t>Nan</t>
        </is>
      </c>
      <c r="AJ53" s="17" t="inlineStr">
        <is>
          <t>Nan</t>
        </is>
      </c>
      <c r="AK53" s="17" t="inlineStr">
        <is>
          <t>Nan</t>
        </is>
      </c>
      <c r="AL53" s="17" t="inlineStr">
        <is>
          <t>Nan</t>
        </is>
      </c>
      <c r="AM53" s="63" t="n">
        <v>2</v>
      </c>
      <c r="AN53" s="65" t="n">
        <v>1</v>
      </c>
      <c r="AO53" s="65" t="n">
        <v>1</v>
      </c>
      <c r="AP53" s="65" t="n">
        <v>4</v>
      </c>
      <c r="AQ53" s="65" t="n">
        <v>1</v>
      </c>
      <c r="AR53" s="65" t="n">
        <v>1</v>
      </c>
      <c r="AS53" s="63" t="n">
        <v>3</v>
      </c>
    </row>
    <row r="54" ht="18.75" customHeight="1">
      <c r="A54" s="61" t="inlineStr">
        <is>
          <t>YANGDA Sky Whale Max Hybrid Heavy Lift Long Endurance VTOL Drone</t>
        </is>
      </c>
      <c r="B54" s="11" t="inlineStr">
        <is>
          <t>Nan</t>
        </is>
      </c>
      <c r="C54" s="78" t="n">
        <v>5000</v>
      </c>
      <c r="D54" s="81" t="n">
        <v>25.5466385452744</v>
      </c>
      <c r="E54" s="11" t="inlineStr">
        <is>
          <t>Nan</t>
        </is>
      </c>
      <c r="F54" s="11" t="inlineStr">
        <is>
          <t>Nan</t>
        </is>
      </c>
      <c r="G54" s="84" t="n">
        <v>1.806172221600136</v>
      </c>
      <c r="H54" s="12" t="inlineStr">
        <is>
          <t>Nan</t>
        </is>
      </c>
      <c r="I54" s="12" t="n">
        <v>2.58</v>
      </c>
      <c r="J54" s="12" t="inlineStr">
        <is>
          <t>Nan</t>
        </is>
      </c>
      <c r="K54" s="12" t="inlineStr">
        <is>
          <t>Nan</t>
        </is>
      </c>
      <c r="L54" s="14" t="n">
        <v>65</v>
      </c>
      <c r="M54" s="84" t="n">
        <v>819.5634059854547</v>
      </c>
      <c r="N54" s="15" t="n">
        <v>10</v>
      </c>
      <c r="O54" s="84" t="n">
        <v>32.54989236475507</v>
      </c>
      <c r="P54" s="15" t="inlineStr">
        <is>
          <t>Nan</t>
        </is>
      </c>
      <c r="Q54" s="15" t="inlineStr">
        <is>
          <t>Nan</t>
        </is>
      </c>
      <c r="R54" s="15" t="inlineStr">
        <is>
          <t>Nan</t>
        </is>
      </c>
      <c r="S54" s="17" t="n">
        <v>4.8</v>
      </c>
      <c r="T54" s="17" t="inlineStr">
        <is>
          <t>Nan</t>
        </is>
      </c>
      <c r="U54" s="84" t="n">
        <v>12.36476277326797</v>
      </c>
      <c r="V54" s="17" t="inlineStr">
        <is>
          <t>Nan</t>
        </is>
      </c>
      <c r="W54" s="17" t="inlineStr">
        <is>
          <t>Nan</t>
        </is>
      </c>
      <c r="X54" s="17" t="inlineStr">
        <is>
          <t>Nan</t>
        </is>
      </c>
      <c r="Y54" s="17" t="inlineStr">
        <is>
          <t>Nan</t>
        </is>
      </c>
      <c r="Z54" s="17" t="n">
        <v>37.5</v>
      </c>
      <c r="AA54" s="84" t="n">
        <v>53.1344615021289</v>
      </c>
      <c r="AB54" s="17" t="inlineStr">
        <is>
          <t>Nan</t>
        </is>
      </c>
      <c r="AC54" s="17" t="inlineStr">
        <is>
          <t>Nan</t>
        </is>
      </c>
      <c r="AD54" s="84" t="n">
        <v>165.6783600732407</v>
      </c>
      <c r="AE54" s="17" t="inlineStr">
        <is>
          <t>Nan</t>
        </is>
      </c>
      <c r="AF54" s="17" t="inlineStr">
        <is>
          <t>Nan</t>
        </is>
      </c>
      <c r="AG54" s="17" t="inlineStr">
        <is>
          <t>Nan</t>
        </is>
      </c>
      <c r="AH54" s="17" t="inlineStr">
        <is>
          <t>Nan</t>
        </is>
      </c>
      <c r="AI54" s="17" t="inlineStr">
        <is>
          <t>Nan</t>
        </is>
      </c>
      <c r="AJ54" s="17" t="inlineStr">
        <is>
          <t>Nan</t>
        </is>
      </c>
      <c r="AK54" s="17" t="inlineStr">
        <is>
          <t>Nan</t>
        </is>
      </c>
      <c r="AL54" s="17" t="inlineStr">
        <is>
          <t>Nan</t>
        </is>
      </c>
      <c r="AM54" s="63" t="n">
        <v>2</v>
      </c>
      <c r="AN54" s="65" t="n">
        <v>1</v>
      </c>
      <c r="AO54" s="65" t="n">
        <v>2</v>
      </c>
      <c r="AP54" s="65" t="n">
        <v>4</v>
      </c>
      <c r="AQ54" s="65" t="n">
        <v>1</v>
      </c>
      <c r="AR54" s="65" t="n">
        <v>1</v>
      </c>
      <c r="AS54" s="63" t="n">
        <v>3</v>
      </c>
    </row>
    <row r="55" ht="18.75" customHeight="1">
      <c r="A55" s="61" t="inlineStr">
        <is>
          <t>YANGDA Sky Whale Mini Electric Long Endurance VTOL Drone</t>
        </is>
      </c>
      <c r="B55" s="10" t="inlineStr">
        <is>
          <t>Nan</t>
        </is>
      </c>
      <c r="C55" s="79" t="n">
        <v>5000</v>
      </c>
      <c r="D55" s="79" t="n">
        <v>29.84</v>
      </c>
      <c r="E55" s="10" t="n">
        <v>11500</v>
      </c>
      <c r="F55" s="10" t="n">
        <v>16</v>
      </c>
      <c r="G55" s="12" t="inlineStr">
        <is>
          <t>Nan</t>
        </is>
      </c>
      <c r="H55" s="12" t="inlineStr">
        <is>
          <t>Nan</t>
        </is>
      </c>
      <c r="I55" s="12" t="n">
        <v>1.67</v>
      </c>
      <c r="J55" s="12" t="inlineStr">
        <is>
          <t>Nan</t>
        </is>
      </c>
      <c r="K55" s="12" t="inlineStr">
        <is>
          <t>Nan</t>
        </is>
      </c>
      <c r="L55" s="14" t="n">
        <v>18.5</v>
      </c>
      <c r="M55" s="85" t="n">
        <v>319.1</v>
      </c>
      <c r="N55" s="15" t="n">
        <v>3.2</v>
      </c>
      <c r="O55" s="15" t="n">
        <v>33.3</v>
      </c>
      <c r="P55" s="15" t="inlineStr">
        <is>
          <t>Nan</t>
        </is>
      </c>
      <c r="Q55" s="15" t="inlineStr">
        <is>
          <t>Nan</t>
        </is>
      </c>
      <c r="R55" s="15" t="inlineStr">
        <is>
          <t>Nan</t>
        </is>
      </c>
      <c r="S55" s="17" t="n">
        <v>3.378</v>
      </c>
      <c r="T55" s="17" t="inlineStr">
        <is>
          <t>Nan</t>
        </is>
      </c>
      <c r="U55" s="17" t="n">
        <v>8.5</v>
      </c>
      <c r="V55" s="17" t="inlineStr">
        <is>
          <t>Nan</t>
        </is>
      </c>
      <c r="W55" s="17" t="n">
        <v>27.7</v>
      </c>
      <c r="X55" s="17" t="n">
        <v>5.1</v>
      </c>
      <c r="Y55" s="17" t="inlineStr">
        <is>
          <t>Nan</t>
        </is>
      </c>
      <c r="Z55" s="17" t="n">
        <v>10</v>
      </c>
      <c r="AA55" s="83" t="n">
        <v>10</v>
      </c>
      <c r="AB55" s="17" t="inlineStr">
        <is>
          <t>Nan</t>
        </is>
      </c>
      <c r="AC55" s="17" t="inlineStr">
        <is>
          <t>Nan</t>
        </is>
      </c>
      <c r="AD55" s="17" t="inlineStr">
        <is>
          <t>Nan</t>
        </is>
      </c>
      <c r="AE55" s="17" t="inlineStr">
        <is>
          <t>Nan</t>
        </is>
      </c>
      <c r="AF55" s="17" t="inlineStr">
        <is>
          <t>Nan</t>
        </is>
      </c>
      <c r="AG55" s="17" t="inlineStr">
        <is>
          <t>Nan</t>
        </is>
      </c>
      <c r="AH55" s="17" t="inlineStr">
        <is>
          <t>Nan</t>
        </is>
      </c>
      <c r="AI55" s="17" t="inlineStr">
        <is>
          <t>Nan</t>
        </is>
      </c>
      <c r="AJ55" s="17" t="inlineStr">
        <is>
          <t>Nan</t>
        </is>
      </c>
      <c r="AK55" s="17" t="inlineStr">
        <is>
          <t>Nan</t>
        </is>
      </c>
      <c r="AL55" s="17" t="inlineStr">
        <is>
          <t>Nan</t>
        </is>
      </c>
      <c r="AM55" s="63" t="n">
        <v>2</v>
      </c>
      <c r="AN55" s="65" t="n">
        <v>1</v>
      </c>
      <c r="AO55" s="65" t="n">
        <v>1</v>
      </c>
      <c r="AP55" s="65" t="n">
        <v>4</v>
      </c>
      <c r="AQ55" s="65" t="n">
        <v>1</v>
      </c>
      <c r="AR55" s="65" t="n">
        <v>1</v>
      </c>
      <c r="AS55" s="63" t="n">
        <v>3</v>
      </c>
    </row>
    <row r="56" ht="18.75" customHeight="1">
      <c r="A56" s="7" t="inlineStr">
        <is>
          <t>DOOSAN DJ25</t>
        </is>
      </c>
      <c r="B56" s="10" t="inlineStr">
        <is>
          <t>Nan</t>
        </is>
      </c>
      <c r="C56" s="79" t="n">
        <v>5000</v>
      </c>
      <c r="D56" s="79" t="n">
        <v>23.7</v>
      </c>
      <c r="E56" s="10" t="n">
        <v>19500</v>
      </c>
      <c r="F56" s="10" t="inlineStr">
        <is>
          <t>Nan</t>
        </is>
      </c>
      <c r="G56" s="12" t="inlineStr">
        <is>
          <t>Nan</t>
        </is>
      </c>
      <c r="H56" s="12" t="inlineStr">
        <is>
          <t>Nan</t>
        </is>
      </c>
      <c r="I56" s="12" t="n">
        <v>2.1</v>
      </c>
      <c r="J56" s="12" t="inlineStr">
        <is>
          <t>Nan</t>
        </is>
      </c>
      <c r="K56" s="12" t="inlineStr">
        <is>
          <t>Nan</t>
        </is>
      </c>
      <c r="L56" s="14" t="n">
        <v>31</v>
      </c>
      <c r="M56" s="15" t="n">
        <v>500</v>
      </c>
      <c r="N56" s="15" t="n">
        <v>5.5</v>
      </c>
      <c r="O56" s="84" t="n">
        <v>28.56056041080211</v>
      </c>
      <c r="P56" s="15" t="inlineStr">
        <is>
          <t>Nan</t>
        </is>
      </c>
      <c r="Q56" s="15" t="inlineStr">
        <is>
          <t>Nan</t>
        </is>
      </c>
      <c r="R56" s="15" t="inlineStr">
        <is>
          <t>Nan</t>
        </is>
      </c>
      <c r="S56" s="17" t="n">
        <v>4.4</v>
      </c>
      <c r="T56" s="17" t="inlineStr">
        <is>
          <t>Nan</t>
        </is>
      </c>
      <c r="U56" s="17" t="n">
        <v>4</v>
      </c>
      <c r="V56" s="17" t="inlineStr">
        <is>
          <t>Nan</t>
        </is>
      </c>
      <c r="W56" s="17" t="n">
        <v>22</v>
      </c>
      <c r="X56" s="17" t="inlineStr">
        <is>
          <t>Nan</t>
        </is>
      </c>
      <c r="Y56" s="17" t="inlineStr">
        <is>
          <t>Nan</t>
        </is>
      </c>
      <c r="Z56" s="17" t="inlineStr">
        <is>
          <t>Nan</t>
        </is>
      </c>
      <c r="AA56" s="83" t="n">
        <v>27</v>
      </c>
      <c r="AB56" s="17" t="n">
        <v>17.1</v>
      </c>
      <c r="AC56" s="17" t="n">
        <v>13</v>
      </c>
      <c r="AD56" s="17" t="n">
        <v>200</v>
      </c>
      <c r="AE56" s="17" t="inlineStr">
        <is>
          <t>Nan</t>
        </is>
      </c>
      <c r="AF56" s="17" t="inlineStr">
        <is>
          <t>Nan</t>
        </is>
      </c>
      <c r="AG56" s="17" t="inlineStr">
        <is>
          <t>Nan</t>
        </is>
      </c>
      <c r="AH56" s="17" t="inlineStr">
        <is>
          <t>Nan</t>
        </is>
      </c>
      <c r="AI56" s="17" t="inlineStr">
        <is>
          <t>Nan</t>
        </is>
      </c>
      <c r="AJ56" s="17" t="inlineStr">
        <is>
          <t>Nan</t>
        </is>
      </c>
      <c r="AK56" s="17" t="inlineStr">
        <is>
          <t>Nan</t>
        </is>
      </c>
      <c r="AL56" s="17" t="inlineStr">
        <is>
          <t>Nan</t>
        </is>
      </c>
      <c r="AM56" s="63" t="n">
        <v>2</v>
      </c>
      <c r="AN56" s="65" t="n">
        <v>4</v>
      </c>
      <c r="AO56" s="65" t="n">
        <v>4</v>
      </c>
      <c r="AP56" s="65" t="n">
        <v>4</v>
      </c>
      <c r="AQ56" s="65" t="n">
        <v>1</v>
      </c>
      <c r="AR56" s="65" t="n">
        <v>1</v>
      </c>
      <c r="AS56" s="63" t="n">
        <v>3</v>
      </c>
    </row>
    <row r="57" ht="18.75" customHeight="1">
      <c r="A57" s="7" t="inlineStr">
        <is>
          <t>WingtraOne GEN II</t>
        </is>
      </c>
      <c r="B57" s="11" t="inlineStr">
        <is>
          <t>Nan</t>
        </is>
      </c>
      <c r="C57" s="10" t="n">
        <v>7000</v>
      </c>
      <c r="D57" s="79" t="n">
        <v>19.39</v>
      </c>
      <c r="E57" s="10" t="inlineStr">
        <is>
          <t>Nan</t>
        </is>
      </c>
      <c r="F57" s="10" t="inlineStr">
        <is>
          <t>Nan</t>
        </is>
      </c>
      <c r="G57" s="12" t="inlineStr">
        <is>
          <t>Nan</t>
        </is>
      </c>
      <c r="H57" s="12" t="inlineStr">
        <is>
          <t>Nan</t>
        </is>
      </c>
      <c r="I57" s="12" t="n">
        <v>1.25</v>
      </c>
      <c r="J57" s="12" t="inlineStr">
        <is>
          <t>Nan</t>
        </is>
      </c>
      <c r="K57" s="12" t="n">
        <v>12</v>
      </c>
      <c r="L57" s="14" t="n">
        <v>4.5</v>
      </c>
      <c r="M57" s="85" t="n">
        <v>64.8</v>
      </c>
      <c r="N57" s="15" t="n">
        <v>1</v>
      </c>
      <c r="O57" s="15" t="inlineStr">
        <is>
          <t>Nan</t>
        </is>
      </c>
      <c r="P57" s="15" t="inlineStr">
        <is>
          <t>Nan</t>
        </is>
      </c>
      <c r="Q57" s="15" t="inlineStr">
        <is>
          <t>Nan</t>
        </is>
      </c>
      <c r="R57" s="15" t="inlineStr">
        <is>
          <t>Nan</t>
        </is>
      </c>
      <c r="S57" s="86" t="inlineStr">
        <is>
          <t>Nan</t>
        </is>
      </c>
      <c r="T57" s="17" t="inlineStr">
        <is>
          <t>Nan</t>
        </is>
      </c>
      <c r="U57" s="17" t="n">
        <v>0.8</v>
      </c>
      <c r="V57" s="17" t="inlineStr">
        <is>
          <t>Nan</t>
        </is>
      </c>
      <c r="W57" s="17" t="n">
        <v>18</v>
      </c>
      <c r="X57" s="17" t="inlineStr">
        <is>
          <t>Nan</t>
        </is>
      </c>
      <c r="Y57" s="17" t="inlineStr">
        <is>
          <t>Nan</t>
        </is>
      </c>
      <c r="Z57" s="17" t="n">
        <v>2.5</v>
      </c>
      <c r="AA57" s="17" t="n">
        <v>3.7</v>
      </c>
      <c r="AB57" s="17" t="n">
        <v>18</v>
      </c>
      <c r="AC57" s="17" t="n">
        <v>12</v>
      </c>
      <c r="AD57" s="17" t="n">
        <v>10</v>
      </c>
      <c r="AE57" s="17" t="inlineStr">
        <is>
          <t>Nan</t>
        </is>
      </c>
      <c r="AF57" s="17" t="inlineStr">
        <is>
          <t>Nan</t>
        </is>
      </c>
      <c r="AG57" s="17" t="inlineStr">
        <is>
          <t>Nan</t>
        </is>
      </c>
      <c r="AH57" s="17" t="inlineStr">
        <is>
          <t>Nan</t>
        </is>
      </c>
      <c r="AI57" s="17" t="inlineStr">
        <is>
          <t>Nan</t>
        </is>
      </c>
      <c r="AJ57" s="17" t="inlineStr">
        <is>
          <t>Nan</t>
        </is>
      </c>
      <c r="AK57" s="17" t="n">
        <v>19900</v>
      </c>
      <c r="AL57" s="17" t="inlineStr">
        <is>
          <t>Nan</t>
        </is>
      </c>
      <c r="AM57" s="63" t="n">
        <v>2</v>
      </c>
      <c r="AN57" s="65" t="n">
        <v>1</v>
      </c>
      <c r="AO57" s="65" t="n">
        <v>4</v>
      </c>
      <c r="AP57" s="65" t="n">
        <v>4</v>
      </c>
      <c r="AQ57" s="65" t="n">
        <v>1</v>
      </c>
      <c r="AR57" s="65" t="n">
        <v>1</v>
      </c>
      <c r="AS57" s="63" t="n">
        <v>3</v>
      </c>
    </row>
    <row r="58" ht="18.75" customHeight="1">
      <c r="A58" s="7" t="inlineStr">
        <is>
          <t>Trinity Pro</t>
        </is>
      </c>
      <c r="B58" s="10" t="inlineStr">
        <is>
          <t>Nan</t>
        </is>
      </c>
      <c r="C58" s="79" t="n">
        <v>5000</v>
      </c>
      <c r="D58" s="79" t="n">
        <v>18.31</v>
      </c>
      <c r="E58" s="10" t="n">
        <v>18000</v>
      </c>
      <c r="F58" s="10" t="inlineStr">
        <is>
          <t>Nan</t>
        </is>
      </c>
      <c r="G58" s="12" t="inlineStr">
        <is>
          <t>Nan</t>
        </is>
      </c>
      <c r="H58" s="12" t="inlineStr">
        <is>
          <t>Nan</t>
        </is>
      </c>
      <c r="I58" s="84" t="n">
        <v>1.34531343231744</v>
      </c>
      <c r="J58" s="12" t="inlineStr">
        <is>
          <t>Nan</t>
        </is>
      </c>
      <c r="K58" s="12" t="inlineStr">
        <is>
          <t>Nan</t>
        </is>
      </c>
      <c r="L58" s="14" t="n">
        <v>5.75</v>
      </c>
      <c r="M58" s="85" t="n">
        <v>91.8</v>
      </c>
      <c r="N58" s="15" t="n">
        <v>1.5</v>
      </c>
      <c r="O58" s="15" t="inlineStr">
        <is>
          <t>Nan</t>
        </is>
      </c>
      <c r="P58" s="15" t="inlineStr">
        <is>
          <t>Nan</t>
        </is>
      </c>
      <c r="Q58" s="15" t="inlineStr">
        <is>
          <t>Nan</t>
        </is>
      </c>
      <c r="R58" s="15" t="inlineStr">
        <is>
          <t>Nan</t>
        </is>
      </c>
      <c r="S58" s="17" t="n">
        <v>2.394</v>
      </c>
      <c r="T58" s="17" t="inlineStr">
        <is>
          <t>Nan</t>
        </is>
      </c>
      <c r="U58" s="84" t="n">
        <v>3.96030395343907</v>
      </c>
      <c r="V58" s="17" t="inlineStr">
        <is>
          <t>Nan</t>
        </is>
      </c>
      <c r="W58" s="17" t="n">
        <v>17</v>
      </c>
      <c r="X58" s="17" t="inlineStr">
        <is>
          <t>Nan</t>
        </is>
      </c>
      <c r="Y58" s="17" t="inlineStr">
        <is>
          <t>Nan</t>
        </is>
      </c>
      <c r="Z58" s="17" t="inlineStr">
        <is>
          <t>Nan</t>
        </is>
      </c>
      <c r="AA58" s="84" t="n">
        <v>1.337324670296269</v>
      </c>
      <c r="AB58" s="17" t="inlineStr">
        <is>
          <t>Nan</t>
        </is>
      </c>
      <c r="AC58" s="17" t="inlineStr">
        <is>
          <t>Nan</t>
        </is>
      </c>
      <c r="AD58" s="17" t="n">
        <v>7.5</v>
      </c>
      <c r="AE58" s="17" t="inlineStr">
        <is>
          <t>Nan</t>
        </is>
      </c>
      <c r="AF58" s="17" t="inlineStr">
        <is>
          <t>Nan</t>
        </is>
      </c>
      <c r="AG58" s="17" t="inlineStr">
        <is>
          <t>Nan</t>
        </is>
      </c>
      <c r="AH58" s="17" t="inlineStr">
        <is>
          <t>Nan</t>
        </is>
      </c>
      <c r="AI58" s="17" t="inlineStr">
        <is>
          <t>Nan</t>
        </is>
      </c>
      <c r="AJ58" s="17" t="inlineStr">
        <is>
          <t>Nan</t>
        </is>
      </c>
      <c r="AK58" s="17" t="inlineStr">
        <is>
          <t>Nan</t>
        </is>
      </c>
      <c r="AL58" s="17" t="inlineStr">
        <is>
          <t>Nan</t>
        </is>
      </c>
      <c r="AM58" s="63" t="n">
        <v>2</v>
      </c>
      <c r="AN58" s="65" t="n">
        <v>1</v>
      </c>
      <c r="AO58" s="65" t="n">
        <v>1</v>
      </c>
      <c r="AP58" s="65" t="n">
        <v>3</v>
      </c>
      <c r="AQ58" s="65" t="n">
        <v>3</v>
      </c>
      <c r="AR58" s="65" t="n">
        <v>1</v>
      </c>
      <c r="AS58" s="63" t="n">
        <v>3</v>
      </c>
    </row>
    <row r="59" ht="18.75" customHeight="1">
      <c r="A59" s="7" t="inlineStr">
        <is>
          <t>Trinity F90+</t>
        </is>
      </c>
      <c r="B59" s="10" t="inlineStr">
        <is>
          <t>Nan</t>
        </is>
      </c>
      <c r="C59" s="79" t="n">
        <v>5000</v>
      </c>
      <c r="D59" s="79" t="n">
        <v>18.31</v>
      </c>
      <c r="E59" s="10" t="n">
        <v>15000</v>
      </c>
      <c r="F59" s="10" t="inlineStr">
        <is>
          <t>Nan</t>
        </is>
      </c>
      <c r="G59" s="12" t="inlineStr">
        <is>
          <t>Nan</t>
        </is>
      </c>
      <c r="H59" s="12" t="inlineStr">
        <is>
          <t>Nan</t>
        </is>
      </c>
      <c r="I59" s="12" t="n">
        <v>1.48</v>
      </c>
      <c r="J59" s="12" t="inlineStr">
        <is>
          <t>Nan</t>
        </is>
      </c>
      <c r="K59" s="12" t="inlineStr">
        <is>
          <t>Nan</t>
        </is>
      </c>
      <c r="L59" s="14" t="n">
        <v>5</v>
      </c>
      <c r="M59" s="15" t="n">
        <v>100</v>
      </c>
      <c r="N59" s="15" t="n">
        <v>1.5</v>
      </c>
      <c r="O59" s="15" t="inlineStr">
        <is>
          <t>Nan</t>
        </is>
      </c>
      <c r="P59" s="15" t="inlineStr">
        <is>
          <t>Nan</t>
        </is>
      </c>
      <c r="Q59" s="15" t="inlineStr">
        <is>
          <t>Nan</t>
        </is>
      </c>
      <c r="R59" s="15" t="inlineStr">
        <is>
          <t>Nan</t>
        </is>
      </c>
      <c r="S59" s="17" t="n">
        <v>2.394</v>
      </c>
      <c r="T59" s="17" t="inlineStr">
        <is>
          <t>Nan</t>
        </is>
      </c>
      <c r="U59" s="17" t="n">
        <v>0.7</v>
      </c>
      <c r="V59" s="17" t="inlineStr">
        <is>
          <t>Nan</t>
        </is>
      </c>
      <c r="W59" s="17" t="n">
        <v>17</v>
      </c>
      <c r="X59" s="17" t="inlineStr">
        <is>
          <t>Nan</t>
        </is>
      </c>
      <c r="Y59" s="17" t="inlineStr">
        <is>
          <t>Nan</t>
        </is>
      </c>
      <c r="Z59" s="17" t="inlineStr">
        <is>
          <t>Nan</t>
        </is>
      </c>
      <c r="AA59" s="83" t="n">
        <v>4.3</v>
      </c>
      <c r="AB59" s="17" t="inlineStr">
        <is>
          <t>Nan</t>
        </is>
      </c>
      <c r="AC59" s="17" t="inlineStr">
        <is>
          <t>Nan</t>
        </is>
      </c>
      <c r="AD59" s="17" t="n">
        <v>7.5</v>
      </c>
      <c r="AE59" s="17" t="inlineStr">
        <is>
          <t>Nan</t>
        </is>
      </c>
      <c r="AF59" s="17" t="inlineStr">
        <is>
          <t>Nan</t>
        </is>
      </c>
      <c r="AG59" s="17" t="inlineStr">
        <is>
          <t>Nan</t>
        </is>
      </c>
      <c r="AH59" s="17" t="inlineStr">
        <is>
          <t>Nan</t>
        </is>
      </c>
      <c r="AI59" s="17" t="inlineStr">
        <is>
          <t>Nan</t>
        </is>
      </c>
      <c r="AJ59" s="17" t="inlineStr">
        <is>
          <t>Nan</t>
        </is>
      </c>
      <c r="AK59" s="17" t="inlineStr">
        <is>
          <t>Nan</t>
        </is>
      </c>
      <c r="AL59" s="17" t="inlineStr">
        <is>
          <t>Nan</t>
        </is>
      </c>
      <c r="AM59" s="63" t="n">
        <v>2</v>
      </c>
      <c r="AN59" s="65" t="n">
        <v>1</v>
      </c>
      <c r="AO59" s="65" t="n">
        <v>1</v>
      </c>
      <c r="AP59" s="65" t="n">
        <v>3</v>
      </c>
      <c r="AQ59" s="65" t="n">
        <v>3</v>
      </c>
      <c r="AR59" s="65" t="n">
        <v>1</v>
      </c>
      <c r="AS59" s="63" t="n">
        <v>3</v>
      </c>
    </row>
    <row r="60" ht="18.75" customHeight="1">
      <c r="A60" s="7" t="inlineStr">
        <is>
          <t>Vector</t>
        </is>
      </c>
      <c r="B60" s="10" t="inlineStr">
        <is>
          <t>Nan</t>
        </is>
      </c>
      <c r="C60" s="79" t="n">
        <v>5000</v>
      </c>
      <c r="D60" s="79" t="n">
        <v>21.55</v>
      </c>
      <c r="E60" s="10" t="n">
        <v>12500</v>
      </c>
      <c r="F60" s="10" t="inlineStr">
        <is>
          <t>Nan</t>
        </is>
      </c>
      <c r="G60" s="12" t="inlineStr">
        <is>
          <t>Nan</t>
        </is>
      </c>
      <c r="H60" s="12" t="inlineStr">
        <is>
          <t>Nan</t>
        </is>
      </c>
      <c r="I60" s="12" t="n">
        <v>1.5</v>
      </c>
      <c r="J60" s="12" t="inlineStr">
        <is>
          <t>Nan</t>
        </is>
      </c>
      <c r="K60" s="12" t="inlineStr">
        <is>
          <t>Nan</t>
        </is>
      </c>
      <c r="L60" s="14" t="n">
        <v>9.5</v>
      </c>
      <c r="M60" s="85" t="n">
        <v>216</v>
      </c>
      <c r="N60" s="15" t="n">
        <v>3</v>
      </c>
      <c r="O60" s="84" t="n">
        <v>31.92727216751489</v>
      </c>
      <c r="P60" s="15" t="inlineStr">
        <is>
          <t>Nan</t>
        </is>
      </c>
      <c r="Q60" s="15" t="inlineStr">
        <is>
          <t>Nan</t>
        </is>
      </c>
      <c r="R60" s="15" t="inlineStr">
        <is>
          <t>Nan</t>
        </is>
      </c>
      <c r="S60" s="17" t="n">
        <v>2.8</v>
      </c>
      <c r="T60" s="17" t="inlineStr">
        <is>
          <t>Nan</t>
        </is>
      </c>
      <c r="U60" s="84" t="n">
        <v>1.644777883467109</v>
      </c>
      <c r="V60" s="17" t="inlineStr">
        <is>
          <t>Nan</t>
        </is>
      </c>
      <c r="W60" s="17" t="n">
        <v>20</v>
      </c>
      <c r="X60" s="17" t="inlineStr">
        <is>
          <t>Nan</t>
        </is>
      </c>
      <c r="Y60" s="17" t="inlineStr">
        <is>
          <t>Nan</t>
        </is>
      </c>
      <c r="Z60" s="17" t="inlineStr">
        <is>
          <t>Nan</t>
        </is>
      </c>
      <c r="AA60" s="84" t="n">
        <v>8.514710041896578</v>
      </c>
      <c r="AB60" s="17" t="inlineStr">
        <is>
          <t>Nan</t>
        </is>
      </c>
      <c r="AC60" s="17" t="inlineStr">
        <is>
          <t>Nan</t>
        </is>
      </c>
      <c r="AD60" s="17" t="n">
        <v>60</v>
      </c>
      <c r="AE60" s="17" t="inlineStr">
        <is>
          <t>Nan</t>
        </is>
      </c>
      <c r="AF60" s="17" t="inlineStr">
        <is>
          <t>Nan</t>
        </is>
      </c>
      <c r="AG60" s="17" t="inlineStr">
        <is>
          <t>Nan</t>
        </is>
      </c>
      <c r="AH60" s="17" t="inlineStr">
        <is>
          <t>Nan</t>
        </is>
      </c>
      <c r="AI60" s="17" t="inlineStr">
        <is>
          <t>Nan</t>
        </is>
      </c>
      <c r="AJ60" s="17" t="inlineStr">
        <is>
          <t>Nan</t>
        </is>
      </c>
      <c r="AK60" s="17" t="inlineStr">
        <is>
          <t>Nan</t>
        </is>
      </c>
      <c r="AL60" s="17" t="inlineStr">
        <is>
          <t>Nan</t>
        </is>
      </c>
      <c r="AM60" s="63" t="n">
        <v>2</v>
      </c>
      <c r="AN60" s="65" t="n">
        <v>1</v>
      </c>
      <c r="AO60" s="65" t="n">
        <v>1</v>
      </c>
      <c r="AP60" s="65" t="n">
        <v>3</v>
      </c>
      <c r="AQ60" s="65" t="n">
        <v>3</v>
      </c>
      <c r="AR60" s="65" t="n">
        <v>1</v>
      </c>
      <c r="AS60" s="63" t="n">
        <v>3</v>
      </c>
    </row>
    <row r="61" ht="18.75" customHeight="1">
      <c r="A61" s="61" t="inlineStr">
        <is>
          <t>T-Drones VA32</t>
        </is>
      </c>
      <c r="B61" s="10" t="inlineStr">
        <is>
          <t>Nan</t>
        </is>
      </c>
      <c r="C61" s="79" t="n">
        <v>5000</v>
      </c>
      <c r="D61" s="79" t="n">
        <v>23.7</v>
      </c>
      <c r="E61" s="10" t="n">
        <v>15000</v>
      </c>
      <c r="F61" s="10" t="inlineStr">
        <is>
          <t>Nan</t>
        </is>
      </c>
      <c r="G61" s="12" t="inlineStr">
        <is>
          <t>Nan</t>
        </is>
      </c>
      <c r="H61" s="12" t="inlineStr">
        <is>
          <t>Nan</t>
        </is>
      </c>
      <c r="I61" s="12" t="n">
        <v>1.98</v>
      </c>
      <c r="J61" s="12" t="inlineStr">
        <is>
          <t>Nan</t>
        </is>
      </c>
      <c r="K61" s="12" t="inlineStr">
        <is>
          <t>Nan</t>
        </is>
      </c>
      <c r="L61" s="14" t="n">
        <v>25</v>
      </c>
      <c r="M61" s="15" t="n">
        <v>300</v>
      </c>
      <c r="N61" s="15" t="n">
        <v>4</v>
      </c>
      <c r="O61" s="15" t="inlineStr">
        <is>
          <t>Nan</t>
        </is>
      </c>
      <c r="P61" s="15" t="n">
        <v>38</v>
      </c>
      <c r="Q61" s="15" t="inlineStr">
        <is>
          <t>Nan</t>
        </is>
      </c>
      <c r="R61" s="15" t="inlineStr">
        <is>
          <t>Nan</t>
        </is>
      </c>
      <c r="S61" s="17" t="n">
        <v>3.2</v>
      </c>
      <c r="T61" s="17" t="inlineStr">
        <is>
          <t>Nan</t>
        </is>
      </c>
      <c r="U61" s="17" t="n">
        <v>5</v>
      </c>
      <c r="V61" s="17" t="inlineStr">
        <is>
          <t>Nan</t>
        </is>
      </c>
      <c r="W61" s="17" t="n">
        <v>22</v>
      </c>
      <c r="X61" s="17" t="inlineStr">
        <is>
          <t>Nan</t>
        </is>
      </c>
      <c r="Y61" s="17" t="inlineStr">
        <is>
          <t>Nan</t>
        </is>
      </c>
      <c r="Z61" s="17" t="inlineStr">
        <is>
          <t>Nan</t>
        </is>
      </c>
      <c r="AA61" s="83" t="n">
        <v>20</v>
      </c>
      <c r="AB61" s="17" t="inlineStr">
        <is>
          <t>Nan</t>
        </is>
      </c>
      <c r="AC61" s="17" t="n">
        <v>10.7</v>
      </c>
      <c r="AD61" s="17" t="n">
        <v>10</v>
      </c>
      <c r="AE61" s="17" t="inlineStr">
        <is>
          <t>Nan</t>
        </is>
      </c>
      <c r="AF61" s="17" t="inlineStr">
        <is>
          <t>Nan</t>
        </is>
      </c>
      <c r="AG61" s="17" t="inlineStr">
        <is>
          <t>Nan</t>
        </is>
      </c>
      <c r="AH61" s="17" t="inlineStr">
        <is>
          <t>Nan</t>
        </is>
      </c>
      <c r="AI61" s="17" t="inlineStr">
        <is>
          <t>Nan</t>
        </is>
      </c>
      <c r="AJ61" s="17" t="inlineStr">
        <is>
          <t>Nan</t>
        </is>
      </c>
      <c r="AK61" s="17" t="inlineStr">
        <is>
          <t>Nan</t>
        </is>
      </c>
      <c r="AL61" s="17" t="n">
        <v>12890</v>
      </c>
      <c r="AM61" s="63" t="n">
        <v>2</v>
      </c>
      <c r="AN61" s="65" t="n">
        <v>1</v>
      </c>
      <c r="AO61" s="65" t="n">
        <v>1</v>
      </c>
      <c r="AP61" s="65" t="n">
        <v>4</v>
      </c>
      <c r="AQ61" s="65" t="n">
        <v>1</v>
      </c>
      <c r="AR61" s="65" t="n">
        <v>1</v>
      </c>
      <c r="AS61" s="63" t="n">
        <v>3</v>
      </c>
    </row>
    <row r="62" ht="18.75" customHeight="1">
      <c r="A62" s="61" t="inlineStr">
        <is>
          <t>Avy Aera</t>
        </is>
      </c>
      <c r="B62" s="10" t="inlineStr">
        <is>
          <t>Nan</t>
        </is>
      </c>
      <c r="C62" s="79" t="n">
        <v>5000</v>
      </c>
      <c r="D62" s="79" t="n">
        <v>26.93</v>
      </c>
      <c r="E62" s="10" t="inlineStr">
        <is>
          <t>Nan</t>
        </is>
      </c>
      <c r="F62" s="10" t="inlineStr">
        <is>
          <t>Nan</t>
        </is>
      </c>
      <c r="G62" s="12" t="inlineStr">
        <is>
          <t>Nan</t>
        </is>
      </c>
      <c r="H62" s="12" t="inlineStr">
        <is>
          <t>Nan</t>
        </is>
      </c>
      <c r="I62" s="12" t="n">
        <v>1.5</v>
      </c>
      <c r="J62" s="12" t="inlineStr">
        <is>
          <t>Nan</t>
        </is>
      </c>
      <c r="K62" s="12" t="inlineStr">
        <is>
          <t>Nan</t>
        </is>
      </c>
      <c r="L62" s="14" t="n">
        <v>19.5</v>
      </c>
      <c r="M62" s="15" t="n">
        <v>100</v>
      </c>
      <c r="N62" s="15" t="n">
        <v>1.25</v>
      </c>
      <c r="O62" s="15" t="n">
        <v>38.9</v>
      </c>
      <c r="P62" s="15" t="inlineStr">
        <is>
          <t>Nan</t>
        </is>
      </c>
      <c r="Q62" s="15" t="inlineStr">
        <is>
          <t>Nan</t>
        </is>
      </c>
      <c r="R62" s="15" t="inlineStr">
        <is>
          <t>Nan</t>
        </is>
      </c>
      <c r="S62" s="17" t="n">
        <v>2.4</v>
      </c>
      <c r="T62" s="17" t="inlineStr">
        <is>
          <t>Nan</t>
        </is>
      </c>
      <c r="U62" s="17" t="n">
        <v>3</v>
      </c>
      <c r="V62" s="17" t="inlineStr">
        <is>
          <t>Nan</t>
        </is>
      </c>
      <c r="W62" s="17" t="n">
        <v>25</v>
      </c>
      <c r="X62" s="17" t="inlineStr">
        <is>
          <t>Nan</t>
        </is>
      </c>
      <c r="Y62" s="17" t="inlineStr">
        <is>
          <t>Nan</t>
        </is>
      </c>
      <c r="Z62" s="17" t="inlineStr">
        <is>
          <t>Nan</t>
        </is>
      </c>
      <c r="AA62" s="83" t="n">
        <v>16.5</v>
      </c>
      <c r="AB62" s="17" t="inlineStr">
        <is>
          <t>Nan</t>
        </is>
      </c>
      <c r="AC62" s="17" t="n">
        <v>12.5</v>
      </c>
      <c r="AD62" s="17" t="inlineStr">
        <is>
          <t>Nan</t>
        </is>
      </c>
      <c r="AE62" s="17" t="inlineStr">
        <is>
          <t>Nan</t>
        </is>
      </c>
      <c r="AF62" s="17" t="inlineStr">
        <is>
          <t>Nan</t>
        </is>
      </c>
      <c r="AG62" s="17" t="inlineStr">
        <is>
          <t>Nan</t>
        </is>
      </c>
      <c r="AH62" s="17" t="inlineStr">
        <is>
          <t>Nan</t>
        </is>
      </c>
      <c r="AI62" s="17" t="inlineStr">
        <is>
          <t>Nan</t>
        </is>
      </c>
      <c r="AJ62" s="17" t="inlineStr">
        <is>
          <t>Nan</t>
        </is>
      </c>
      <c r="AK62" s="17" t="inlineStr">
        <is>
          <t>Nan</t>
        </is>
      </c>
      <c r="AL62" s="17" t="inlineStr">
        <is>
          <t>Nan</t>
        </is>
      </c>
      <c r="AM62" s="63" t="n">
        <v>2</v>
      </c>
      <c r="AN62" s="65" t="n">
        <v>1</v>
      </c>
      <c r="AO62" s="65" t="n">
        <v>1</v>
      </c>
      <c r="AP62" s="65" t="n">
        <v>4</v>
      </c>
      <c r="AQ62" s="65" t="n">
        <v>1</v>
      </c>
      <c r="AR62" s="65" t="n">
        <v>1</v>
      </c>
      <c r="AS62" s="63" t="n">
        <v>3</v>
      </c>
    </row>
    <row r="63" ht="18.75" customHeight="1">
      <c r="A63" s="61" t="inlineStr">
        <is>
          <t>Event 38 E400 VTOL</t>
        </is>
      </c>
      <c r="B63" s="10" t="inlineStr">
        <is>
          <t>Nan</t>
        </is>
      </c>
      <c r="C63" s="79" t="n">
        <v>5000</v>
      </c>
      <c r="D63" s="79" t="n">
        <v>17.24</v>
      </c>
      <c r="E63" s="10" t="inlineStr">
        <is>
          <t>Nan</t>
        </is>
      </c>
      <c r="F63" s="10" t="inlineStr">
        <is>
          <t>Nan</t>
        </is>
      </c>
      <c r="G63" s="12" t="inlineStr">
        <is>
          <t>Nan</t>
        </is>
      </c>
      <c r="H63" s="12" t="inlineStr">
        <is>
          <t>Nan</t>
        </is>
      </c>
      <c r="I63" s="12" t="n">
        <v>1.5</v>
      </c>
      <c r="J63" s="12" t="inlineStr">
        <is>
          <t>Nan</t>
        </is>
      </c>
      <c r="K63" s="12" t="inlineStr">
        <is>
          <t>Nan</t>
        </is>
      </c>
      <c r="L63" s="14" t="n">
        <v>9.300000000000001</v>
      </c>
      <c r="M63" s="15" t="n">
        <v>86</v>
      </c>
      <c r="N63" s="15" t="n">
        <v>1.5</v>
      </c>
      <c r="O63" s="15" t="inlineStr">
        <is>
          <t>Nan</t>
        </is>
      </c>
      <c r="P63" s="15" t="inlineStr">
        <is>
          <t>Nan</t>
        </is>
      </c>
      <c r="Q63" s="15" t="inlineStr">
        <is>
          <t>Nan</t>
        </is>
      </c>
      <c r="R63" s="15" t="inlineStr">
        <is>
          <t>Nan</t>
        </is>
      </c>
      <c r="S63" s="17" t="n">
        <v>3</v>
      </c>
      <c r="T63" s="17" t="inlineStr">
        <is>
          <t>Nan</t>
        </is>
      </c>
      <c r="U63" s="17" t="n">
        <v>1.3</v>
      </c>
      <c r="V63" s="17" t="inlineStr">
        <is>
          <t>Nan</t>
        </is>
      </c>
      <c r="W63" s="17" t="n">
        <v>16</v>
      </c>
      <c r="X63" s="17" t="inlineStr">
        <is>
          <t>Nan</t>
        </is>
      </c>
      <c r="Y63" s="17" t="inlineStr">
        <is>
          <t>Nan</t>
        </is>
      </c>
      <c r="Z63" s="17" t="inlineStr">
        <is>
          <t>Nan</t>
        </is>
      </c>
      <c r="AA63" s="83" t="n">
        <v>8</v>
      </c>
      <c r="AB63" s="17" t="inlineStr">
        <is>
          <t>Nan</t>
        </is>
      </c>
      <c r="AC63" s="17" t="n">
        <v>12</v>
      </c>
      <c r="AD63" s="17" t="n">
        <v>8</v>
      </c>
      <c r="AE63" s="17" t="inlineStr">
        <is>
          <t>Nan</t>
        </is>
      </c>
      <c r="AF63" s="17" t="inlineStr">
        <is>
          <t>Nan</t>
        </is>
      </c>
      <c r="AG63" s="17" t="inlineStr">
        <is>
          <t>Nan</t>
        </is>
      </c>
      <c r="AH63" s="17" t="inlineStr">
        <is>
          <t>Nan</t>
        </is>
      </c>
      <c r="AI63" s="17" t="inlineStr">
        <is>
          <t>Nan</t>
        </is>
      </c>
      <c r="AJ63" s="17" t="inlineStr">
        <is>
          <t>Nan</t>
        </is>
      </c>
      <c r="AK63" s="17" t="inlineStr">
        <is>
          <t>Nan</t>
        </is>
      </c>
      <c r="AL63" s="17" t="inlineStr">
        <is>
          <t>Nan</t>
        </is>
      </c>
      <c r="AM63" s="63" t="n">
        <v>2</v>
      </c>
      <c r="AN63" s="65" t="n">
        <v>1</v>
      </c>
      <c r="AO63" s="65" t="n">
        <v>1</v>
      </c>
      <c r="AP63" s="65" t="n">
        <v>4</v>
      </c>
      <c r="AQ63" s="65" t="n">
        <v>1</v>
      </c>
      <c r="AR63" s="65" t="n">
        <v>1</v>
      </c>
      <c r="AS63" s="63" t="n">
        <v>3</v>
      </c>
    </row>
    <row r="64" ht="18.75" customHeight="1">
      <c r="A64" s="61" t="inlineStr">
        <is>
          <t>Aerovel Flexrotor</t>
        </is>
      </c>
      <c r="B64" s="10" t="inlineStr">
        <is>
          <t>Nan</t>
        </is>
      </c>
      <c r="C64" s="79" t="n">
        <v>5000</v>
      </c>
      <c r="D64" s="10" t="inlineStr">
        <is>
          <t>Nan</t>
        </is>
      </c>
      <c r="E64" s="10" t="inlineStr">
        <is>
          <t>Nan</t>
        </is>
      </c>
      <c r="F64" s="10" t="inlineStr">
        <is>
          <t>Nan</t>
        </is>
      </c>
      <c r="G64" s="12" t="inlineStr">
        <is>
          <t>Nan</t>
        </is>
      </c>
      <c r="H64" s="12" t="inlineStr">
        <is>
          <t>Nan</t>
        </is>
      </c>
      <c r="I64" s="12" t="n">
        <v>2</v>
      </c>
      <c r="J64" s="12" t="inlineStr">
        <is>
          <t>Nan</t>
        </is>
      </c>
      <c r="K64" s="12" t="inlineStr">
        <is>
          <t>Nan</t>
        </is>
      </c>
      <c r="L64" s="14" t="n">
        <v>25</v>
      </c>
      <c r="M64" s="15" t="inlineStr">
        <is>
          <t>Nan</t>
        </is>
      </c>
      <c r="N64" s="15" t="n">
        <v>14</v>
      </c>
      <c r="O64" s="15" t="n">
        <v>38.9</v>
      </c>
      <c r="P64" s="15" t="inlineStr">
        <is>
          <t>Nan</t>
        </is>
      </c>
      <c r="Q64" s="15" t="inlineStr">
        <is>
          <t>Nan</t>
        </is>
      </c>
      <c r="R64" s="15" t="inlineStr">
        <is>
          <t>Nan</t>
        </is>
      </c>
      <c r="S64" s="17" t="n">
        <v>3</v>
      </c>
      <c r="T64" s="17" t="inlineStr">
        <is>
          <t>Nan</t>
        </is>
      </c>
      <c r="U64" s="17" t="n">
        <v>8</v>
      </c>
      <c r="V64" s="17" t="inlineStr">
        <is>
          <t>Nan</t>
        </is>
      </c>
      <c r="W64" s="17" t="inlineStr">
        <is>
          <t>Nan</t>
        </is>
      </c>
      <c r="X64" s="17" t="inlineStr">
        <is>
          <t>Nan</t>
        </is>
      </c>
      <c r="Y64" s="17" t="inlineStr">
        <is>
          <t>Nan</t>
        </is>
      </c>
      <c r="Z64" s="17" t="inlineStr">
        <is>
          <t>Nan</t>
        </is>
      </c>
      <c r="AA64" s="83" t="n">
        <v>17</v>
      </c>
      <c r="AB64" s="17" t="inlineStr">
        <is>
          <t>Nan</t>
        </is>
      </c>
      <c r="AC64" s="17" t="inlineStr">
        <is>
          <t>Nan</t>
        </is>
      </c>
      <c r="AD64" s="17" t="inlineStr">
        <is>
          <t>Nan</t>
        </is>
      </c>
      <c r="AE64" s="17" t="inlineStr">
        <is>
          <t>Nan</t>
        </is>
      </c>
      <c r="AF64" s="17" t="inlineStr">
        <is>
          <t>Nan</t>
        </is>
      </c>
      <c r="AG64" s="17" t="inlineStr">
        <is>
          <t>Nan</t>
        </is>
      </c>
      <c r="AH64" s="17" t="inlineStr">
        <is>
          <t>Nan</t>
        </is>
      </c>
      <c r="AI64" s="17" t="inlineStr">
        <is>
          <t>Nan</t>
        </is>
      </c>
      <c r="AJ64" s="17" t="inlineStr">
        <is>
          <t>Nan</t>
        </is>
      </c>
      <c r="AK64" s="17" t="inlineStr">
        <is>
          <t>Nan</t>
        </is>
      </c>
      <c r="AL64" s="17" t="inlineStr">
        <is>
          <t>Nan</t>
        </is>
      </c>
      <c r="AM64" s="63" t="n">
        <v>2</v>
      </c>
      <c r="AN64" s="65" t="n">
        <v>2</v>
      </c>
      <c r="AO64" s="65" t="n">
        <v>2</v>
      </c>
      <c r="AP64" s="65" t="n">
        <v>1</v>
      </c>
      <c r="AQ64" s="65" t="n">
        <v>1</v>
      </c>
      <c r="AR64" s="65" t="n">
        <v>1</v>
      </c>
      <c r="AS64" s="65" t="n">
        <v>1</v>
      </c>
    </row>
    <row r="65" ht="18.75" customHeight="1">
      <c r="A65" s="61" t="inlineStr">
        <is>
          <t>FIXAR 007 NG</t>
        </is>
      </c>
      <c r="B65" s="10" t="inlineStr">
        <is>
          <t>Nan</t>
        </is>
      </c>
      <c r="C65" s="79" t="n">
        <v>5000</v>
      </c>
      <c r="D65" s="79" t="n">
        <v>19.39</v>
      </c>
      <c r="E65" s="10" t="n">
        <v>20000</v>
      </c>
      <c r="F65" s="10" t="inlineStr">
        <is>
          <t>Nan</t>
        </is>
      </c>
      <c r="G65" s="12" t="inlineStr">
        <is>
          <t>Nan</t>
        </is>
      </c>
      <c r="H65" s="12" t="inlineStr">
        <is>
          <t>Nan</t>
        </is>
      </c>
      <c r="I65" s="12" t="n">
        <v>0.85</v>
      </c>
      <c r="J65" s="12" t="inlineStr">
        <is>
          <t>Nan</t>
        </is>
      </c>
      <c r="K65" s="12" t="inlineStr">
        <is>
          <t>Nan</t>
        </is>
      </c>
      <c r="L65" s="14" t="n">
        <v>7</v>
      </c>
      <c r="M65" s="15" t="n">
        <v>55</v>
      </c>
      <c r="N65" s="15" t="n">
        <v>1.17</v>
      </c>
      <c r="O65" s="15" t="n">
        <v>24</v>
      </c>
      <c r="P65" s="15" t="inlineStr">
        <is>
          <t>Nan</t>
        </is>
      </c>
      <c r="Q65" s="15" t="inlineStr">
        <is>
          <t>Nan</t>
        </is>
      </c>
      <c r="R65" s="15" t="inlineStr">
        <is>
          <t>Nan</t>
        </is>
      </c>
      <c r="S65" s="17" t="n">
        <v>1.62</v>
      </c>
      <c r="T65" s="17" t="inlineStr">
        <is>
          <t>Nan</t>
        </is>
      </c>
      <c r="U65" s="17" t="n">
        <v>2</v>
      </c>
      <c r="V65" s="17" t="inlineStr">
        <is>
          <t>Nan</t>
        </is>
      </c>
      <c r="W65" s="17" t="n">
        <v>18</v>
      </c>
      <c r="X65" s="17" t="inlineStr">
        <is>
          <t>Nan</t>
        </is>
      </c>
      <c r="Y65" s="17" t="inlineStr">
        <is>
          <t>Nan</t>
        </is>
      </c>
      <c r="Z65" s="17" t="inlineStr">
        <is>
          <t>Nan</t>
        </is>
      </c>
      <c r="AA65" s="83" t="n">
        <v>5</v>
      </c>
      <c r="AB65" s="17" t="inlineStr">
        <is>
          <t>Nan</t>
        </is>
      </c>
      <c r="AC65" s="17" t="n">
        <v>15</v>
      </c>
      <c r="AD65" s="17" t="inlineStr">
        <is>
          <t>Nan</t>
        </is>
      </c>
      <c r="AE65" s="17" t="inlineStr">
        <is>
          <t>Nan</t>
        </is>
      </c>
      <c r="AF65" s="17" t="inlineStr">
        <is>
          <t>Nan</t>
        </is>
      </c>
      <c r="AG65" s="17" t="inlineStr">
        <is>
          <t>Nan</t>
        </is>
      </c>
      <c r="AH65" s="17" t="inlineStr">
        <is>
          <t>Nan</t>
        </is>
      </c>
      <c r="AI65" s="17" t="inlineStr">
        <is>
          <t>Nan</t>
        </is>
      </c>
      <c r="AJ65" s="17" t="inlineStr">
        <is>
          <t>Nan</t>
        </is>
      </c>
      <c r="AK65" s="17" t="inlineStr">
        <is>
          <t>Nan</t>
        </is>
      </c>
      <c r="AL65" s="17" t="inlineStr">
        <is>
          <t>Nan</t>
        </is>
      </c>
      <c r="AM65" s="63" t="n">
        <v>2</v>
      </c>
      <c r="AN65" s="65" t="n">
        <v>1</v>
      </c>
      <c r="AO65" s="65" t="n">
        <v>1</v>
      </c>
      <c r="AP65" s="65" t="n">
        <v>4</v>
      </c>
      <c r="AQ65" s="65" t="n">
        <v>4</v>
      </c>
      <c r="AR65" s="65" t="n">
        <v>1</v>
      </c>
      <c r="AS65" s="65" t="n">
        <v>3</v>
      </c>
    </row>
    <row r="66" ht="18.75" customHeight="1">
      <c r="A66" s="61" t="inlineStr">
        <is>
          <t>Autel Dragonfish</t>
        </is>
      </c>
      <c r="B66" s="10" t="inlineStr">
        <is>
          <t>Nan</t>
        </is>
      </c>
      <c r="C66" s="79" t="n">
        <v>5000</v>
      </c>
      <c r="D66" s="84" t="n">
        <v>17.63806755721555</v>
      </c>
      <c r="E66" s="10" t="inlineStr">
        <is>
          <t>Nan</t>
        </is>
      </c>
      <c r="F66" s="10" t="inlineStr">
        <is>
          <t>Nan</t>
        </is>
      </c>
      <c r="G66" s="12" t="inlineStr">
        <is>
          <t>Nan</t>
        </is>
      </c>
      <c r="H66" s="12" t="inlineStr">
        <is>
          <t>Nan</t>
        </is>
      </c>
      <c r="I66" s="12" t="n">
        <v>1.29</v>
      </c>
      <c r="J66" s="12" t="inlineStr">
        <is>
          <t>Nan</t>
        </is>
      </c>
      <c r="K66" s="12" t="inlineStr">
        <is>
          <t>Nan</t>
        </is>
      </c>
      <c r="L66" s="14" t="n">
        <v>9</v>
      </c>
      <c r="M66" s="84" t="n">
        <v>79.21459898116933</v>
      </c>
      <c r="N66" s="15" t="n">
        <v>1.75</v>
      </c>
      <c r="O66" s="15" t="n">
        <v>30</v>
      </c>
      <c r="P66" s="15" t="inlineStr">
        <is>
          <t>Nan</t>
        </is>
      </c>
      <c r="Q66" s="15" t="inlineStr">
        <is>
          <t>Nan</t>
        </is>
      </c>
      <c r="R66" s="15" t="inlineStr">
        <is>
          <t>Nan</t>
        </is>
      </c>
      <c r="S66" s="17" t="n">
        <v>2.3</v>
      </c>
      <c r="T66" s="17" t="inlineStr">
        <is>
          <t>Nan</t>
        </is>
      </c>
      <c r="U66" s="17" t="n">
        <v>1.5</v>
      </c>
      <c r="V66" s="17" t="inlineStr">
        <is>
          <t>Nan</t>
        </is>
      </c>
      <c r="W66" s="17" t="inlineStr">
        <is>
          <t>Nan</t>
        </is>
      </c>
      <c r="X66" s="17" t="inlineStr">
        <is>
          <t>Nan</t>
        </is>
      </c>
      <c r="Y66" s="17" t="inlineStr">
        <is>
          <t>Nan</t>
        </is>
      </c>
      <c r="Z66" s="17" t="inlineStr">
        <is>
          <t>Nan</t>
        </is>
      </c>
      <c r="AA66" s="17" t="n">
        <v>7.5</v>
      </c>
      <c r="AB66" s="17" t="inlineStr">
        <is>
          <t>Nan</t>
        </is>
      </c>
      <c r="AC66" s="17" t="inlineStr">
        <is>
          <t>Nan</t>
        </is>
      </c>
      <c r="AD66" s="84" t="n">
        <v>21.37362968634387</v>
      </c>
      <c r="AE66" s="17" t="inlineStr">
        <is>
          <t>Nan</t>
        </is>
      </c>
      <c r="AF66" s="17" t="inlineStr">
        <is>
          <t>Nan</t>
        </is>
      </c>
      <c r="AG66" s="17" t="inlineStr">
        <is>
          <t>Nan</t>
        </is>
      </c>
      <c r="AH66" s="17" t="inlineStr">
        <is>
          <t>Nan</t>
        </is>
      </c>
      <c r="AI66" s="17" t="inlineStr">
        <is>
          <t>Nan</t>
        </is>
      </c>
      <c r="AJ66" s="17" t="inlineStr">
        <is>
          <t>Nan</t>
        </is>
      </c>
      <c r="AK66" s="17" t="inlineStr">
        <is>
          <t>Nan</t>
        </is>
      </c>
      <c r="AL66" s="17" t="inlineStr">
        <is>
          <t>Nan</t>
        </is>
      </c>
      <c r="AM66" s="63" t="n">
        <v>2</v>
      </c>
      <c r="AN66" s="65" t="n">
        <v>1</v>
      </c>
      <c r="AO66" s="65" t="n">
        <v>1</v>
      </c>
      <c r="AP66" s="65" t="n">
        <v>4</v>
      </c>
      <c r="AQ66" s="65" t="n">
        <v>2</v>
      </c>
      <c r="AR66" s="65" t="n">
        <v>1</v>
      </c>
      <c r="AS66" s="65" t="n">
        <v>3</v>
      </c>
    </row>
    <row r="67" ht="18.75" customHeight="1">
      <c r="A67" s="61" t="inlineStr">
        <is>
          <t>Autel Dragonfish Pro</t>
        </is>
      </c>
      <c r="B67" s="10" t="inlineStr">
        <is>
          <t>Nan</t>
        </is>
      </c>
      <c r="C67" s="79" t="n">
        <v>5000</v>
      </c>
      <c r="D67" s="84" t="n">
        <v>20.14275113378309</v>
      </c>
      <c r="E67" s="10" t="inlineStr">
        <is>
          <t>Nan</t>
        </is>
      </c>
      <c r="F67" s="10" t="inlineStr">
        <is>
          <t>Nan</t>
        </is>
      </c>
      <c r="G67" s="12" t="inlineStr">
        <is>
          <t>Nan</t>
        </is>
      </c>
      <c r="H67" s="12" t="inlineStr">
        <is>
          <t>Nan</t>
        </is>
      </c>
      <c r="I67" s="12" t="n">
        <v>1.66</v>
      </c>
      <c r="J67" s="12" t="inlineStr">
        <is>
          <t>Nan</t>
        </is>
      </c>
      <c r="K67" s="12" t="inlineStr">
        <is>
          <t>Nan</t>
        </is>
      </c>
      <c r="L67" s="14" t="n">
        <v>19</v>
      </c>
      <c r="M67" s="84" t="n">
        <v>211.4559213329996</v>
      </c>
      <c r="N67" s="15" t="n">
        <v>3</v>
      </c>
      <c r="O67" s="15" t="n">
        <v>30</v>
      </c>
      <c r="P67" s="15" t="inlineStr">
        <is>
          <t>Nan</t>
        </is>
      </c>
      <c r="Q67" s="15" t="inlineStr">
        <is>
          <t>Nan</t>
        </is>
      </c>
      <c r="R67" s="15" t="inlineStr">
        <is>
          <t>Nan</t>
        </is>
      </c>
      <c r="S67" s="17" t="n">
        <v>2.98</v>
      </c>
      <c r="T67" s="17" t="inlineStr">
        <is>
          <t>Nan</t>
        </is>
      </c>
      <c r="U67" s="17" t="n">
        <v>2.2</v>
      </c>
      <c r="V67" s="17" t="inlineStr">
        <is>
          <t>Nan</t>
        </is>
      </c>
      <c r="W67" s="17" t="inlineStr">
        <is>
          <t>Nan</t>
        </is>
      </c>
      <c r="X67" s="17" t="inlineStr">
        <is>
          <t>Nan</t>
        </is>
      </c>
      <c r="Y67" s="17" t="inlineStr">
        <is>
          <t>Nan</t>
        </is>
      </c>
      <c r="Z67" s="17" t="inlineStr">
        <is>
          <t>Nan</t>
        </is>
      </c>
      <c r="AA67" s="17" t="n">
        <v>16.8</v>
      </c>
      <c r="AB67" s="17" t="inlineStr">
        <is>
          <t>Nan</t>
        </is>
      </c>
      <c r="AC67" s="17" t="inlineStr">
        <is>
          <t>Nan</t>
        </is>
      </c>
      <c r="AD67" s="84" t="n">
        <v>48.39505912397046</v>
      </c>
      <c r="AE67" s="17" t="inlineStr">
        <is>
          <t>Nan</t>
        </is>
      </c>
      <c r="AF67" s="17" t="inlineStr">
        <is>
          <t>Nan</t>
        </is>
      </c>
      <c r="AG67" s="17" t="inlineStr">
        <is>
          <t>Nan</t>
        </is>
      </c>
      <c r="AH67" s="17" t="inlineStr">
        <is>
          <t>Nan</t>
        </is>
      </c>
      <c r="AI67" s="17" t="inlineStr">
        <is>
          <t>Nan</t>
        </is>
      </c>
      <c r="AJ67" s="17" t="inlineStr">
        <is>
          <t>Nan</t>
        </is>
      </c>
      <c r="AK67" s="17" t="inlineStr">
        <is>
          <t>Nan</t>
        </is>
      </c>
      <c r="AL67" s="17" t="inlineStr">
        <is>
          <t>Nan</t>
        </is>
      </c>
      <c r="AM67" s="63" t="n">
        <v>2</v>
      </c>
      <c r="AN67" s="65" t="n">
        <v>1</v>
      </c>
      <c r="AO67" s="65" t="n">
        <v>1</v>
      </c>
      <c r="AP67" s="65" t="n">
        <v>4</v>
      </c>
      <c r="AQ67" s="65" t="n">
        <v>2</v>
      </c>
      <c r="AR67" s="65" t="n">
        <v>1</v>
      </c>
      <c r="AS67" s="65" t="n">
        <v>3</v>
      </c>
    </row>
    <row r="68" ht="18.75" customHeight="1">
      <c r="A68" s="61" t="inlineStr">
        <is>
          <t>Atmos Marlyn Cobalt (VTOL ala fija)</t>
        </is>
      </c>
      <c r="B68" s="10" t="inlineStr">
        <is>
          <t>Nan</t>
        </is>
      </c>
      <c r="C68" s="79" t="n">
        <v>5000</v>
      </c>
      <c r="D68" s="79" t="n">
        <v>19.5</v>
      </c>
      <c r="E68" s="10" t="n">
        <v>16400</v>
      </c>
      <c r="F68" s="10" t="inlineStr">
        <is>
          <t>Nan</t>
        </is>
      </c>
      <c r="G68" s="12" t="inlineStr">
        <is>
          <t>Nan</t>
        </is>
      </c>
      <c r="H68" s="12" t="inlineStr">
        <is>
          <t>Nan</t>
        </is>
      </c>
      <c r="I68" s="86" t="inlineStr">
        <is>
          <t>Nan</t>
        </is>
      </c>
      <c r="J68" s="12" t="inlineStr">
        <is>
          <t>Nan</t>
        </is>
      </c>
      <c r="K68" s="12" t="inlineStr">
        <is>
          <t>Nan</t>
        </is>
      </c>
      <c r="L68" s="14" t="n">
        <v>6.4</v>
      </c>
      <c r="M68" s="85" t="n">
        <v>54.08</v>
      </c>
      <c r="N68" s="15" t="n">
        <v>0.83</v>
      </c>
      <c r="O68" s="15" t="inlineStr">
        <is>
          <t>Nan</t>
        </is>
      </c>
      <c r="P68" s="15" t="inlineStr">
        <is>
          <t>Nan</t>
        </is>
      </c>
      <c r="Q68" s="15" t="inlineStr">
        <is>
          <t>Nan</t>
        </is>
      </c>
      <c r="R68" s="15" t="inlineStr">
        <is>
          <t>Nan</t>
        </is>
      </c>
      <c r="S68" s="17" t="n">
        <v>1.6</v>
      </c>
      <c r="T68" s="17" t="inlineStr">
        <is>
          <t>Nan</t>
        </is>
      </c>
      <c r="U68" s="17" t="n">
        <v>15.3</v>
      </c>
      <c r="V68" s="17" t="inlineStr">
        <is>
          <t>Nan</t>
        </is>
      </c>
      <c r="W68" s="17" t="n">
        <v>18.1</v>
      </c>
      <c r="X68" s="17" t="inlineStr">
        <is>
          <t>Nan</t>
        </is>
      </c>
      <c r="Y68" s="17" t="inlineStr">
        <is>
          <t>Nan</t>
        </is>
      </c>
      <c r="Z68" s="17" t="inlineStr">
        <is>
          <t>Nan</t>
        </is>
      </c>
      <c r="AA68" s="83" t="n">
        <v>-8.9</v>
      </c>
      <c r="AB68" s="17" t="inlineStr">
        <is>
          <t>Nan</t>
        </is>
      </c>
      <c r="AC68" s="17" t="inlineStr">
        <is>
          <t>Nan</t>
        </is>
      </c>
      <c r="AD68" s="17" t="n">
        <v>7.5</v>
      </c>
      <c r="AE68" s="17" t="inlineStr">
        <is>
          <t>Nan</t>
        </is>
      </c>
      <c r="AF68" s="17" t="inlineStr">
        <is>
          <t>Nan</t>
        </is>
      </c>
      <c r="AG68" s="17" t="inlineStr">
        <is>
          <t>Nan</t>
        </is>
      </c>
      <c r="AH68" s="17" t="inlineStr">
        <is>
          <t>Nan</t>
        </is>
      </c>
      <c r="AI68" s="17" t="inlineStr">
        <is>
          <t>Nan</t>
        </is>
      </c>
      <c r="AJ68" s="17" t="inlineStr">
        <is>
          <t>Nan</t>
        </is>
      </c>
      <c r="AK68" s="17" t="inlineStr">
        <is>
          <t>Nan</t>
        </is>
      </c>
      <c r="AL68" s="17" t="inlineStr">
        <is>
          <t>Nan</t>
        </is>
      </c>
      <c r="AM68" s="63" t="n">
        <v>2</v>
      </c>
      <c r="AN68" s="65" t="n">
        <v>1</v>
      </c>
      <c r="AO68" s="65" t="n">
        <v>1</v>
      </c>
      <c r="AP68" s="65" t="n">
        <v>4</v>
      </c>
      <c r="AQ68" s="65" t="n">
        <v>4</v>
      </c>
      <c r="AR68" s="65" t="n">
        <v>1</v>
      </c>
      <c r="AS68" s="65" t="n">
        <v>3</v>
      </c>
    </row>
    <row r="69" ht="18.75" customHeight="1">
      <c r="A69" s="61" t="inlineStr">
        <is>
          <t>Aliaca VTOL UAS EVO</t>
        </is>
      </c>
      <c r="B69" s="10" t="inlineStr">
        <is>
          <t>Nan</t>
        </is>
      </c>
      <c r="C69" s="79" t="n">
        <v>5000</v>
      </c>
      <c r="D69" s="84" t="n">
        <v>22.17296374994508</v>
      </c>
      <c r="E69" s="10" t="n">
        <v>10000</v>
      </c>
      <c r="F69" s="10" t="inlineStr">
        <is>
          <t>Nan</t>
        </is>
      </c>
      <c r="G69" s="12" t="inlineStr">
        <is>
          <t>Nan</t>
        </is>
      </c>
      <c r="H69" s="12" t="inlineStr">
        <is>
          <t>Nan</t>
        </is>
      </c>
      <c r="I69" s="12" t="n">
        <v>2.2</v>
      </c>
      <c r="J69" s="12" t="inlineStr">
        <is>
          <t>Nan</t>
        </is>
      </c>
      <c r="K69" s="12" t="inlineStr">
        <is>
          <t>Nan</t>
        </is>
      </c>
      <c r="L69" s="14" t="n">
        <v>27</v>
      </c>
      <c r="M69" s="84" t="n">
        <v>196.2934227777916</v>
      </c>
      <c r="N69" s="15" t="n">
        <v>3</v>
      </c>
      <c r="O69" s="84" t="n">
        <v>34.12379382106865</v>
      </c>
      <c r="P69" s="15" t="inlineStr">
        <is>
          <t>Nan</t>
        </is>
      </c>
      <c r="Q69" s="15" t="inlineStr">
        <is>
          <t>Nan</t>
        </is>
      </c>
      <c r="R69" s="15" t="inlineStr">
        <is>
          <t>Nan</t>
        </is>
      </c>
      <c r="S69" s="17" t="n">
        <v>3.5</v>
      </c>
      <c r="T69" s="17" t="inlineStr">
        <is>
          <t>Nan</t>
        </is>
      </c>
      <c r="U69" s="17" t="n">
        <v>2</v>
      </c>
      <c r="V69" s="17" t="inlineStr">
        <is>
          <t>Nan</t>
        </is>
      </c>
      <c r="W69" s="17" t="inlineStr">
        <is>
          <t>Nan</t>
        </is>
      </c>
      <c r="X69" s="17" t="inlineStr">
        <is>
          <t>Nan</t>
        </is>
      </c>
      <c r="Y69" s="17" t="inlineStr">
        <is>
          <t>Nan</t>
        </is>
      </c>
      <c r="Z69" s="17" t="inlineStr">
        <is>
          <t>Nan</t>
        </is>
      </c>
      <c r="AA69" s="17" t="n">
        <v>25</v>
      </c>
      <c r="AB69" s="17" t="inlineStr">
        <is>
          <t>Nan</t>
        </is>
      </c>
      <c r="AC69" s="17" t="n">
        <v>13.8</v>
      </c>
      <c r="AD69" s="17" t="n">
        <v>50</v>
      </c>
      <c r="AE69" s="17" t="inlineStr">
        <is>
          <t>Nan</t>
        </is>
      </c>
      <c r="AF69" s="17" t="inlineStr">
        <is>
          <t>Nan</t>
        </is>
      </c>
      <c r="AG69" s="17" t="inlineStr">
        <is>
          <t>Nan</t>
        </is>
      </c>
      <c r="AH69" s="17" t="inlineStr">
        <is>
          <t>Nan</t>
        </is>
      </c>
      <c r="AI69" s="17" t="inlineStr">
        <is>
          <t>Nan</t>
        </is>
      </c>
      <c r="AJ69" s="17" t="inlineStr">
        <is>
          <t>Nan</t>
        </is>
      </c>
      <c r="AK69" s="17" t="inlineStr">
        <is>
          <t>Nan</t>
        </is>
      </c>
      <c r="AL69" s="17" t="inlineStr">
        <is>
          <t>Nan</t>
        </is>
      </c>
      <c r="AM69" s="63" t="n">
        <v>2</v>
      </c>
      <c r="AN69" s="65" t="n">
        <v>1</v>
      </c>
      <c r="AO69" s="65" t="n">
        <v>1</v>
      </c>
      <c r="AP69" s="65" t="n">
        <v>4</v>
      </c>
      <c r="AQ69" s="65" t="n">
        <v>1</v>
      </c>
      <c r="AR69" s="65" t="n">
        <v>1</v>
      </c>
      <c r="AS69" s="65" t="n">
        <v>1</v>
      </c>
    </row>
    <row r="70" ht="18.75" customHeight="1">
      <c r="A70" s="61" t="inlineStr">
        <is>
          <t>Aliaca VTOL UAS ER</t>
        </is>
      </c>
      <c r="B70" s="10" t="inlineStr">
        <is>
          <t>Nan</t>
        </is>
      </c>
      <c r="C70" s="79" t="n">
        <v>5000</v>
      </c>
      <c r="D70" s="84" t="n">
        <v>20.78481310628035</v>
      </c>
      <c r="E70" s="10" t="n">
        <v>10000</v>
      </c>
      <c r="F70" s="10" t="inlineStr">
        <is>
          <t>Nan</t>
        </is>
      </c>
      <c r="G70" s="12" t="inlineStr">
        <is>
          <t>Nan</t>
        </is>
      </c>
      <c r="H70" s="12" t="inlineStr">
        <is>
          <t>Nan</t>
        </is>
      </c>
      <c r="I70" s="12" t="n">
        <v>2.2</v>
      </c>
      <c r="J70" s="12" t="inlineStr">
        <is>
          <t>Nan</t>
        </is>
      </c>
      <c r="K70" s="12" t="inlineStr">
        <is>
          <t>Nan</t>
        </is>
      </c>
      <c r="L70" s="14" t="n">
        <v>27</v>
      </c>
      <c r="M70" s="84" t="n">
        <v>350.5715166024318</v>
      </c>
      <c r="N70" s="15" t="n">
        <v>6</v>
      </c>
      <c r="O70" s="84" t="n">
        <v>30.11067144569253</v>
      </c>
      <c r="P70" s="15" t="inlineStr">
        <is>
          <t>Nan</t>
        </is>
      </c>
      <c r="Q70" s="15" t="inlineStr">
        <is>
          <t>Nan</t>
        </is>
      </c>
      <c r="R70" s="15" t="inlineStr">
        <is>
          <t>Nan</t>
        </is>
      </c>
      <c r="S70" s="17" t="n">
        <v>3.5</v>
      </c>
      <c r="T70" s="17" t="inlineStr">
        <is>
          <t>Nan</t>
        </is>
      </c>
      <c r="U70" s="17" t="n">
        <v>3</v>
      </c>
      <c r="V70" s="17" t="inlineStr">
        <is>
          <t>Nan</t>
        </is>
      </c>
      <c r="W70" s="17" t="inlineStr">
        <is>
          <t>Nan</t>
        </is>
      </c>
      <c r="X70" s="17" t="inlineStr">
        <is>
          <t>Nan</t>
        </is>
      </c>
      <c r="Y70" s="17" t="inlineStr">
        <is>
          <t>Nan</t>
        </is>
      </c>
      <c r="Z70" s="17" t="inlineStr">
        <is>
          <t>Nan</t>
        </is>
      </c>
      <c r="AA70" s="17" t="n">
        <v>24</v>
      </c>
      <c r="AB70" s="17" t="inlineStr">
        <is>
          <t>Nan</t>
        </is>
      </c>
      <c r="AC70" s="17" t="inlineStr">
        <is>
          <t>Nan</t>
        </is>
      </c>
      <c r="AD70" s="17" t="n">
        <v>80</v>
      </c>
      <c r="AE70" s="17" t="inlineStr">
        <is>
          <t>Nan</t>
        </is>
      </c>
      <c r="AF70" s="17" t="inlineStr">
        <is>
          <t>Nan</t>
        </is>
      </c>
      <c r="AG70" s="17" t="inlineStr">
        <is>
          <t>Nan</t>
        </is>
      </c>
      <c r="AH70" s="17" t="inlineStr">
        <is>
          <t>Nan</t>
        </is>
      </c>
      <c r="AI70" s="17" t="inlineStr">
        <is>
          <t>Nan</t>
        </is>
      </c>
      <c r="AJ70" s="17" t="inlineStr">
        <is>
          <t>Nan</t>
        </is>
      </c>
      <c r="AK70" s="17" t="inlineStr">
        <is>
          <t>Nan</t>
        </is>
      </c>
      <c r="AL70" s="17" t="inlineStr">
        <is>
          <t>Nan</t>
        </is>
      </c>
      <c r="AM70" s="63" t="n">
        <v>2</v>
      </c>
      <c r="AN70" s="65" t="n">
        <v>1</v>
      </c>
      <c r="AO70" s="65" t="n">
        <v>2</v>
      </c>
      <c r="AP70" s="65" t="n">
        <v>4</v>
      </c>
      <c r="AQ70" s="65" t="n">
        <v>1</v>
      </c>
      <c r="AR70" s="65" t="n">
        <v>1</v>
      </c>
      <c r="AS70" s="65" t="n">
        <v>1</v>
      </c>
    </row>
    <row r="71" ht="18.75" customHeight="1">
      <c r="A71" s="61" t="inlineStr">
        <is>
          <t>Aliaca UAS EVO</t>
        </is>
      </c>
      <c r="B71" s="10" t="inlineStr">
        <is>
          <t>Nan</t>
        </is>
      </c>
      <c r="C71" s="79" t="n">
        <v>5000</v>
      </c>
      <c r="D71" s="79" t="n">
        <v>19.39</v>
      </c>
      <c r="E71" s="10" t="inlineStr">
        <is>
          <t>Nan</t>
        </is>
      </c>
      <c r="F71" s="10" t="inlineStr">
        <is>
          <t>Nan</t>
        </is>
      </c>
      <c r="G71" s="12" t="inlineStr">
        <is>
          <t>Nan</t>
        </is>
      </c>
      <c r="H71" s="12" t="inlineStr">
        <is>
          <t>Nan</t>
        </is>
      </c>
      <c r="I71" s="12" t="n">
        <v>2.1</v>
      </c>
      <c r="J71" s="12" t="inlineStr">
        <is>
          <t>Nan</t>
        </is>
      </c>
      <c r="K71" s="12" t="inlineStr">
        <is>
          <t>Nan</t>
        </is>
      </c>
      <c r="L71" s="14" t="n">
        <v>16</v>
      </c>
      <c r="M71" s="85" t="n">
        <v>194.4</v>
      </c>
      <c r="N71" s="15" t="n">
        <v>3</v>
      </c>
      <c r="O71" s="15" t="n">
        <v>28</v>
      </c>
      <c r="P71" s="15" t="inlineStr">
        <is>
          <t>Nan</t>
        </is>
      </c>
      <c r="Q71" s="15" t="inlineStr">
        <is>
          <t>Nan</t>
        </is>
      </c>
      <c r="R71" s="15" t="inlineStr">
        <is>
          <t>Nan</t>
        </is>
      </c>
      <c r="S71" s="17" t="n">
        <v>3.6</v>
      </c>
      <c r="T71" s="17" t="inlineStr">
        <is>
          <t>Nan</t>
        </is>
      </c>
      <c r="U71" s="17" t="n">
        <v>2</v>
      </c>
      <c r="V71" s="17" t="inlineStr">
        <is>
          <t>Nan</t>
        </is>
      </c>
      <c r="W71" s="17" t="n">
        <v>18</v>
      </c>
      <c r="X71" s="17" t="inlineStr">
        <is>
          <t>Nan</t>
        </is>
      </c>
      <c r="Y71" s="17" t="inlineStr">
        <is>
          <t>Nan</t>
        </is>
      </c>
      <c r="Z71" s="17" t="inlineStr">
        <is>
          <t>Nan</t>
        </is>
      </c>
      <c r="AA71" s="17" t="n">
        <v>14.5</v>
      </c>
      <c r="AB71" s="17" t="inlineStr">
        <is>
          <t>Nan</t>
        </is>
      </c>
      <c r="AC71" s="17" t="inlineStr">
        <is>
          <t>Nan</t>
        </is>
      </c>
      <c r="AD71" s="17" t="n">
        <v>50</v>
      </c>
      <c r="AE71" s="17" t="inlineStr">
        <is>
          <t>Nan</t>
        </is>
      </c>
      <c r="AF71" s="17" t="inlineStr">
        <is>
          <t>Nan</t>
        </is>
      </c>
      <c r="AG71" s="17" t="inlineStr">
        <is>
          <t>Nan</t>
        </is>
      </c>
      <c r="AH71" s="17" t="inlineStr">
        <is>
          <t>Nan</t>
        </is>
      </c>
      <c r="AI71" s="17" t="inlineStr">
        <is>
          <t>Nan</t>
        </is>
      </c>
      <c r="AJ71" s="17" t="inlineStr">
        <is>
          <t>Nan</t>
        </is>
      </c>
      <c r="AK71" s="17" t="inlineStr">
        <is>
          <t>Nan</t>
        </is>
      </c>
      <c r="AL71" s="17" t="inlineStr">
        <is>
          <t>Nan</t>
        </is>
      </c>
      <c r="AM71" s="63" t="n">
        <v>1</v>
      </c>
      <c r="AN71" s="65" t="n">
        <v>1</v>
      </c>
      <c r="AO71" s="65" t="n">
        <v>0</v>
      </c>
      <c r="AP71" s="65" t="n">
        <v>0</v>
      </c>
      <c r="AQ71" s="65" t="n">
        <v>1</v>
      </c>
      <c r="AR71" s="65" t="n">
        <v>1</v>
      </c>
      <c r="AS71" s="65" t="n">
        <v>1</v>
      </c>
    </row>
    <row r="72" ht="18.75" customHeight="1">
      <c r="A72" s="61" t="inlineStr">
        <is>
          <t>Aliaca UAS ER</t>
        </is>
      </c>
      <c r="B72" s="10" t="inlineStr">
        <is>
          <t>Nan</t>
        </is>
      </c>
      <c r="C72" s="79" t="n">
        <v>5000</v>
      </c>
      <c r="D72" s="79" t="n">
        <v>19.39</v>
      </c>
      <c r="E72" s="10" t="inlineStr">
        <is>
          <t>Nan</t>
        </is>
      </c>
      <c r="F72" s="10" t="inlineStr">
        <is>
          <t>Nan</t>
        </is>
      </c>
      <c r="G72" s="12" t="inlineStr">
        <is>
          <t>Nan</t>
        </is>
      </c>
      <c r="H72" s="12" t="inlineStr">
        <is>
          <t>Nan</t>
        </is>
      </c>
      <c r="I72" s="12" t="n">
        <v>2.1</v>
      </c>
      <c r="J72" s="12" t="inlineStr">
        <is>
          <t>Nan</t>
        </is>
      </c>
      <c r="K72" s="12" t="inlineStr">
        <is>
          <t>Nan</t>
        </is>
      </c>
      <c r="L72" s="14" t="n">
        <v>16</v>
      </c>
      <c r="M72" s="85" t="n">
        <v>388.8</v>
      </c>
      <c r="N72" s="15" t="n">
        <v>6</v>
      </c>
      <c r="O72" s="15" t="inlineStr">
        <is>
          <t>Nan</t>
        </is>
      </c>
      <c r="P72" s="15" t="inlineStr">
        <is>
          <t>Nan</t>
        </is>
      </c>
      <c r="Q72" s="15" t="inlineStr">
        <is>
          <t>Nan</t>
        </is>
      </c>
      <c r="R72" s="15" t="inlineStr">
        <is>
          <t>Nan</t>
        </is>
      </c>
      <c r="S72" s="17" t="n">
        <v>3.6</v>
      </c>
      <c r="T72" s="17" t="inlineStr">
        <is>
          <t>Nan</t>
        </is>
      </c>
      <c r="U72" s="17" t="n">
        <v>1.5</v>
      </c>
      <c r="V72" s="17" t="inlineStr">
        <is>
          <t>Nan</t>
        </is>
      </c>
      <c r="W72" s="17" t="n">
        <v>18</v>
      </c>
      <c r="X72" s="17" t="inlineStr">
        <is>
          <t>Nan</t>
        </is>
      </c>
      <c r="Y72" s="17" t="inlineStr">
        <is>
          <t>Nan</t>
        </is>
      </c>
      <c r="Z72" s="17" t="inlineStr">
        <is>
          <t>Nan</t>
        </is>
      </c>
      <c r="AA72" s="17" t="n">
        <v>14.5</v>
      </c>
      <c r="AB72" s="17" t="inlineStr">
        <is>
          <t>Nan</t>
        </is>
      </c>
      <c r="AC72" s="17" t="inlineStr">
        <is>
          <t>Nan</t>
        </is>
      </c>
      <c r="AD72" s="17" t="n">
        <v>100</v>
      </c>
      <c r="AE72" s="17" t="inlineStr">
        <is>
          <t>Nan</t>
        </is>
      </c>
      <c r="AF72" s="17" t="inlineStr">
        <is>
          <t>Nan</t>
        </is>
      </c>
      <c r="AG72" s="17" t="inlineStr">
        <is>
          <t>Nan</t>
        </is>
      </c>
      <c r="AH72" s="17" t="inlineStr">
        <is>
          <t>Nan</t>
        </is>
      </c>
      <c r="AI72" s="17" t="inlineStr">
        <is>
          <t>Nan</t>
        </is>
      </c>
      <c r="AJ72" s="17" t="inlineStr">
        <is>
          <t>Nan</t>
        </is>
      </c>
      <c r="AK72" s="17" t="inlineStr">
        <is>
          <t>Nan</t>
        </is>
      </c>
      <c r="AL72" s="17" t="inlineStr">
        <is>
          <t>Nan</t>
        </is>
      </c>
      <c r="AM72" s="63" t="n">
        <v>1</v>
      </c>
      <c r="AN72" s="65" t="n">
        <v>2</v>
      </c>
      <c r="AO72" s="65" t="n">
        <v>0</v>
      </c>
      <c r="AP72" s="65" t="n">
        <v>0</v>
      </c>
      <c r="AQ72" s="65" t="n">
        <v>1</v>
      </c>
      <c r="AR72" s="65" t="n">
        <v>1</v>
      </c>
      <c r="AS72" s="65" t="n">
        <v>1</v>
      </c>
    </row>
    <row r="73" ht="18.75" customHeight="1">
      <c r="A73" s="61" t="inlineStr">
        <is>
          <t>Shield AI V-BAT 128</t>
        </is>
      </c>
      <c r="B73" s="10" t="inlineStr">
        <is>
          <t>Nan</t>
        </is>
      </c>
      <c r="C73" s="79" t="n">
        <v>5000</v>
      </c>
      <c r="D73" s="79" t="n">
        <v>14.11</v>
      </c>
      <c r="E73" s="10" t="n">
        <v>18000</v>
      </c>
      <c r="F73" s="10" t="inlineStr">
        <is>
          <t>Nan</t>
        </is>
      </c>
      <c r="G73" s="12" t="inlineStr">
        <is>
          <t>Nan</t>
        </is>
      </c>
      <c r="H73" s="12" t="inlineStr">
        <is>
          <t>Nan</t>
        </is>
      </c>
      <c r="I73" s="12" t="n">
        <v>2.74</v>
      </c>
      <c r="J73" s="12" t="inlineStr">
        <is>
          <t>Nan</t>
        </is>
      </c>
      <c r="K73" s="12" t="inlineStr">
        <is>
          <t>Nan</t>
        </is>
      </c>
      <c r="L73" s="14" t="n">
        <v>73</v>
      </c>
      <c r="M73" s="85" t="n">
        <v>613.08</v>
      </c>
      <c r="N73" s="15" t="n">
        <v>13</v>
      </c>
      <c r="O73" s="15" t="n">
        <v>25</v>
      </c>
      <c r="P73" s="15" t="inlineStr">
        <is>
          <t>Nan</t>
        </is>
      </c>
      <c r="Q73" s="15" t="inlineStr">
        <is>
          <t>Nan</t>
        </is>
      </c>
      <c r="R73" s="15" t="inlineStr">
        <is>
          <t>Nan</t>
        </is>
      </c>
      <c r="S73" s="17" t="n">
        <v>2.9</v>
      </c>
      <c r="T73" s="17" t="inlineStr">
        <is>
          <t>Nan</t>
        </is>
      </c>
      <c r="U73" s="17" t="n">
        <v>11.3</v>
      </c>
      <c r="V73" s="17" t="inlineStr">
        <is>
          <t>Nan</t>
        </is>
      </c>
      <c r="W73" s="17" t="n">
        <v>13.1</v>
      </c>
      <c r="X73" s="17" t="inlineStr">
        <is>
          <t>Nan</t>
        </is>
      </c>
      <c r="Y73" s="17" t="inlineStr">
        <is>
          <t>Nan</t>
        </is>
      </c>
      <c r="Z73" s="17" t="inlineStr">
        <is>
          <t>Nan</t>
        </is>
      </c>
      <c r="AA73" s="83" t="n">
        <v>61.7</v>
      </c>
      <c r="AB73" s="17" t="inlineStr">
        <is>
          <t>Nan</t>
        </is>
      </c>
      <c r="AC73" s="17" t="inlineStr">
        <is>
          <t>Nan</t>
        </is>
      </c>
      <c r="AD73" s="17" t="n">
        <v>130</v>
      </c>
      <c r="AE73" s="17" t="inlineStr">
        <is>
          <t>Nan</t>
        </is>
      </c>
      <c r="AF73" s="17" t="inlineStr">
        <is>
          <t>Nan</t>
        </is>
      </c>
      <c r="AG73" s="17" t="inlineStr">
        <is>
          <t>Nan</t>
        </is>
      </c>
      <c r="AH73" s="17" t="inlineStr">
        <is>
          <t>Nan</t>
        </is>
      </c>
      <c r="AI73" s="17" t="inlineStr">
        <is>
          <t>Nan</t>
        </is>
      </c>
      <c r="AJ73" s="17" t="n">
        <v>23</v>
      </c>
      <c r="AK73" s="17" t="inlineStr">
        <is>
          <t>Nan</t>
        </is>
      </c>
      <c r="AL73" s="17" t="inlineStr">
        <is>
          <t>Nan</t>
        </is>
      </c>
      <c r="AM73" s="63" t="n">
        <v>2</v>
      </c>
      <c r="AN73" s="65" t="n">
        <v>2</v>
      </c>
      <c r="AO73" s="65" t="n">
        <v>2</v>
      </c>
      <c r="AP73" s="65" t="n">
        <v>1</v>
      </c>
      <c r="AQ73" s="65" t="n">
        <v>1</v>
      </c>
      <c r="AR73" s="65" t="n">
        <v>1</v>
      </c>
      <c r="AS73" s="65" t="n">
        <v>1</v>
      </c>
    </row>
    <row r="74" ht="18.75" customHeight="1">
      <c r="A74" s="61" t="inlineStr">
        <is>
          <t>AeroVironment JUMP 20</t>
        </is>
      </c>
      <c r="B74" s="10" t="inlineStr">
        <is>
          <t>Nan</t>
        </is>
      </c>
      <c r="C74" s="79" t="n">
        <v>5000</v>
      </c>
      <c r="D74" s="79" t="n">
        <v>27.79</v>
      </c>
      <c r="E74" s="10" t="n">
        <v>17000</v>
      </c>
      <c r="F74" s="10" t="inlineStr">
        <is>
          <t>Nan</t>
        </is>
      </c>
      <c r="G74" s="12" t="inlineStr">
        <is>
          <t>Nan</t>
        </is>
      </c>
      <c r="H74" s="12" t="inlineStr">
        <is>
          <t>Nan</t>
        </is>
      </c>
      <c r="I74" s="12" t="n">
        <v>2.9</v>
      </c>
      <c r="J74" s="12" t="inlineStr">
        <is>
          <t>Nan</t>
        </is>
      </c>
      <c r="K74" s="12" t="inlineStr">
        <is>
          <t>Nan</t>
        </is>
      </c>
      <c r="L74" s="14" t="n">
        <v>97.5</v>
      </c>
      <c r="M74" s="85" t="n">
        <v>1207.44</v>
      </c>
      <c r="N74" s="15" t="n">
        <v>13</v>
      </c>
      <c r="O74" s="84" t="n">
        <v>34.5891573729964</v>
      </c>
      <c r="P74" s="15" t="inlineStr">
        <is>
          <t>Nan</t>
        </is>
      </c>
      <c r="Q74" s="15" t="inlineStr">
        <is>
          <t>Nan</t>
        </is>
      </c>
      <c r="R74" s="15" t="inlineStr">
        <is>
          <t>Nan</t>
        </is>
      </c>
      <c r="S74" s="17" t="n">
        <v>5.7</v>
      </c>
      <c r="T74" s="17" t="inlineStr">
        <is>
          <t>Nan</t>
        </is>
      </c>
      <c r="U74" s="17" t="n">
        <v>13</v>
      </c>
      <c r="V74" s="17" t="inlineStr">
        <is>
          <t>Nan</t>
        </is>
      </c>
      <c r="W74" s="17" t="n">
        <v>25.8</v>
      </c>
      <c r="X74" s="17" t="inlineStr">
        <is>
          <t>Nan</t>
        </is>
      </c>
      <c r="Y74" s="17" t="inlineStr">
        <is>
          <t>Nan</t>
        </is>
      </c>
      <c r="Z74" s="17" t="inlineStr">
        <is>
          <t>Nan</t>
        </is>
      </c>
      <c r="AA74" s="83" t="n">
        <v>84.5</v>
      </c>
      <c r="AB74" s="17" t="inlineStr">
        <is>
          <t>Nan</t>
        </is>
      </c>
      <c r="AC74" s="17" t="inlineStr">
        <is>
          <t>Nan</t>
        </is>
      </c>
      <c r="AD74" s="17" t="n">
        <v>185</v>
      </c>
      <c r="AE74" s="17" t="inlineStr">
        <is>
          <t>Nan</t>
        </is>
      </c>
      <c r="AF74" s="17" t="inlineStr">
        <is>
          <t>Nan</t>
        </is>
      </c>
      <c r="AG74" s="17" t="inlineStr">
        <is>
          <t>Nan</t>
        </is>
      </c>
      <c r="AH74" s="17" t="inlineStr">
        <is>
          <t>Nan</t>
        </is>
      </c>
      <c r="AI74" s="17" t="inlineStr">
        <is>
          <t>Nan</t>
        </is>
      </c>
      <c r="AJ74" s="17" t="inlineStr">
        <is>
          <t>Nan</t>
        </is>
      </c>
      <c r="AK74" s="17" t="inlineStr">
        <is>
          <t>Nan</t>
        </is>
      </c>
      <c r="AL74" s="17" t="inlineStr">
        <is>
          <t>Nan</t>
        </is>
      </c>
      <c r="AM74" s="63" t="n">
        <v>2</v>
      </c>
      <c r="AN74" s="65" t="n">
        <v>2</v>
      </c>
      <c r="AO74" s="65" t="n">
        <v>1</v>
      </c>
      <c r="AP74" s="65" t="n">
        <v>1</v>
      </c>
      <c r="AQ74" s="65" t="n">
        <v>4</v>
      </c>
      <c r="AR74" s="65" t="n">
        <v>1</v>
      </c>
      <c r="AS74" s="65" t="n">
        <v>1</v>
      </c>
    </row>
    <row r="75" ht="18.75" customHeight="1">
      <c r="A75" s="61" t="inlineStr">
        <is>
          <t>AeroVironment JUMP 20-X</t>
        </is>
      </c>
      <c r="B75" s="10" t="inlineStr">
        <is>
          <t>Nan</t>
        </is>
      </c>
      <c r="C75" s="79" t="n">
        <v>5000</v>
      </c>
      <c r="D75" s="79" t="n">
        <v>27.79</v>
      </c>
      <c r="E75" s="10" t="n">
        <v>17000</v>
      </c>
      <c r="F75" s="10" t="inlineStr">
        <is>
          <t>Nan</t>
        </is>
      </c>
      <c r="G75" s="84" t="n">
        <v>2.240305883023014</v>
      </c>
      <c r="H75" s="12" t="inlineStr">
        <is>
          <t>Nan</t>
        </is>
      </c>
      <c r="I75" s="12" t="n">
        <v>2.9</v>
      </c>
      <c r="J75" s="12" t="inlineStr">
        <is>
          <t>Nan</t>
        </is>
      </c>
      <c r="K75" s="84" t="n">
        <v>0.3405211047288783</v>
      </c>
      <c r="L75" s="14" t="n">
        <v>97.5</v>
      </c>
      <c r="M75" s="85" t="n">
        <v>1207.44</v>
      </c>
      <c r="N75" s="15" t="n">
        <v>13</v>
      </c>
      <c r="O75" s="84" t="n">
        <v>35.5334856608736</v>
      </c>
      <c r="P75" s="15" t="inlineStr">
        <is>
          <t>Nan</t>
        </is>
      </c>
      <c r="Q75" s="15" t="inlineStr">
        <is>
          <t>Nan</t>
        </is>
      </c>
      <c r="R75" s="15" t="inlineStr">
        <is>
          <t>Nan</t>
        </is>
      </c>
      <c r="S75" s="17" t="n">
        <v>5.7</v>
      </c>
      <c r="T75" s="17" t="inlineStr">
        <is>
          <t>Nan</t>
        </is>
      </c>
      <c r="U75" s="17" t="n">
        <v>13.6</v>
      </c>
      <c r="V75" s="17" t="inlineStr">
        <is>
          <t>Nan</t>
        </is>
      </c>
      <c r="W75" s="17" t="n">
        <v>25.8</v>
      </c>
      <c r="X75" s="17" t="inlineStr">
        <is>
          <t>Nan</t>
        </is>
      </c>
      <c r="Y75" s="17" t="inlineStr">
        <is>
          <t>Nan</t>
        </is>
      </c>
      <c r="Z75" s="17" t="inlineStr">
        <is>
          <t>Nan</t>
        </is>
      </c>
      <c r="AA75" s="83" t="n">
        <v>83.90000000000001</v>
      </c>
      <c r="AB75" s="17" t="inlineStr">
        <is>
          <t>Nan</t>
        </is>
      </c>
      <c r="AC75" s="17" t="inlineStr">
        <is>
          <t>Nan</t>
        </is>
      </c>
      <c r="AD75" s="17" t="n">
        <v>185</v>
      </c>
      <c r="AE75" s="17" t="inlineStr">
        <is>
          <t>Nan</t>
        </is>
      </c>
      <c r="AF75" s="17" t="inlineStr">
        <is>
          <t>Nan</t>
        </is>
      </c>
      <c r="AG75" s="17" t="inlineStr">
        <is>
          <t>Nan</t>
        </is>
      </c>
      <c r="AH75" s="17" t="inlineStr">
        <is>
          <t>Nan</t>
        </is>
      </c>
      <c r="AI75" s="17" t="inlineStr">
        <is>
          <t>Nan</t>
        </is>
      </c>
      <c r="AJ75" s="84" t="n">
        <v>10.66647589034461</v>
      </c>
      <c r="AK75" s="17" t="inlineStr">
        <is>
          <t>Nan</t>
        </is>
      </c>
      <c r="AL75" s="17" t="inlineStr">
        <is>
          <t>Nan</t>
        </is>
      </c>
      <c r="AM75" s="63" t="n">
        <v>2</v>
      </c>
      <c r="AN75" s="65" t="n">
        <v>2</v>
      </c>
      <c r="AO75" s="65" t="n">
        <v>1</v>
      </c>
      <c r="AP75" s="65" t="n">
        <v>1</v>
      </c>
      <c r="AQ75" s="65" t="n">
        <v>4</v>
      </c>
      <c r="AR75" s="65" t="n">
        <v>1</v>
      </c>
      <c r="AS75" s="65" t="n">
        <v>1</v>
      </c>
    </row>
    <row r="76" ht="18.75" customHeight="1">
      <c r="A76" s="61" t="inlineStr">
        <is>
          <t>T-20</t>
        </is>
      </c>
      <c r="B76" s="10" t="inlineStr">
        <is>
          <t>Nan</t>
        </is>
      </c>
      <c r="C76" s="79" t="n">
        <v>5000</v>
      </c>
      <c r="D76" s="79" t="n">
        <v>33.21</v>
      </c>
      <c r="E76" s="10" t="n">
        <v>25000</v>
      </c>
      <c r="F76" s="10" t="inlineStr">
        <is>
          <t>Nan</t>
        </is>
      </c>
      <c r="G76" s="12" t="inlineStr">
        <is>
          <t>Nan</t>
        </is>
      </c>
      <c r="H76" s="12" t="inlineStr">
        <is>
          <t>Nan</t>
        </is>
      </c>
      <c r="I76" s="12" t="n">
        <v>2.9</v>
      </c>
      <c r="J76" s="12" t="inlineStr">
        <is>
          <t>Nan</t>
        </is>
      </c>
      <c r="K76" s="12" t="inlineStr">
        <is>
          <t>Nan</t>
        </is>
      </c>
      <c r="L76" s="14" t="n">
        <v>84</v>
      </c>
      <c r="M76" s="85" t="n">
        <v>2663.71</v>
      </c>
      <c r="N76" s="15" t="n">
        <v>24</v>
      </c>
      <c r="O76" s="15" t="n">
        <v>38.61</v>
      </c>
      <c r="P76" s="15" t="inlineStr">
        <is>
          <t>Nan</t>
        </is>
      </c>
      <c r="Q76" s="15" t="inlineStr">
        <is>
          <t>Nan</t>
        </is>
      </c>
      <c r="R76" s="15" t="inlineStr">
        <is>
          <t>Nan</t>
        </is>
      </c>
      <c r="S76" s="17" t="n">
        <v>5.3</v>
      </c>
      <c r="T76" s="17" t="inlineStr">
        <is>
          <t>Nan</t>
        </is>
      </c>
      <c r="U76" s="17" t="n">
        <v>15</v>
      </c>
      <c r="V76" s="17" t="inlineStr">
        <is>
          <t>Nan</t>
        </is>
      </c>
      <c r="W76" s="17" t="n">
        <v>30.83</v>
      </c>
      <c r="X76" s="17" t="inlineStr">
        <is>
          <t>Nan</t>
        </is>
      </c>
      <c r="Y76" s="17" t="inlineStr">
        <is>
          <t>Nan</t>
        </is>
      </c>
      <c r="Z76" s="17" t="inlineStr">
        <is>
          <t>Nan</t>
        </is>
      </c>
      <c r="AA76" s="83" t="n">
        <v>69</v>
      </c>
      <c r="AB76" s="17" t="inlineStr">
        <is>
          <t>Nan</t>
        </is>
      </c>
      <c r="AC76" s="17" t="inlineStr">
        <is>
          <t>Nan</t>
        </is>
      </c>
      <c r="AD76" s="17" t="n">
        <v>89</v>
      </c>
      <c r="AE76" s="17" t="inlineStr">
        <is>
          <t>Nan</t>
        </is>
      </c>
      <c r="AF76" s="17" t="inlineStr">
        <is>
          <t>Nan</t>
        </is>
      </c>
      <c r="AG76" s="17" t="inlineStr">
        <is>
          <t>Nan</t>
        </is>
      </c>
      <c r="AH76" s="17" t="inlineStr">
        <is>
          <t>Nan</t>
        </is>
      </c>
      <c r="AI76" s="17" t="inlineStr">
        <is>
          <t>Nan</t>
        </is>
      </c>
      <c r="AJ76" s="17" t="n">
        <v>10</v>
      </c>
      <c r="AK76" s="17" t="inlineStr">
        <is>
          <t>Nan</t>
        </is>
      </c>
      <c r="AL76" s="17" t="inlineStr">
        <is>
          <t>Nan</t>
        </is>
      </c>
      <c r="AM76" s="63" t="n">
        <v>1</v>
      </c>
      <c r="AN76" s="65" t="n">
        <v>2</v>
      </c>
      <c r="AO76" s="65" t="n">
        <v>0</v>
      </c>
      <c r="AP76" s="65" t="n">
        <v>0</v>
      </c>
      <c r="AQ76" s="65" t="n">
        <v>1</v>
      </c>
      <c r="AR76" s="65" t="n">
        <v>1</v>
      </c>
      <c r="AS76" s="65" t="n">
        <v>1</v>
      </c>
    </row>
    <row r="77" ht="18.75" customHeight="1">
      <c r="A77" s="61" t="inlineStr">
        <is>
          <t>P550</t>
        </is>
      </c>
      <c r="B77" s="10" t="inlineStr">
        <is>
          <t>Nan</t>
        </is>
      </c>
      <c r="C77" s="79" t="n">
        <v>5000</v>
      </c>
      <c r="D77" s="84" t="n">
        <v>26.58445877736986</v>
      </c>
      <c r="E77" s="10" t="n">
        <v>12000</v>
      </c>
      <c r="F77" s="10" t="inlineStr">
        <is>
          <t>Nan</t>
        </is>
      </c>
      <c r="G77" s="12" t="inlineStr">
        <is>
          <t>Nan</t>
        </is>
      </c>
      <c r="H77" s="12" t="inlineStr">
        <is>
          <t>Nan</t>
        </is>
      </c>
      <c r="I77" s="12" t="n">
        <v>2.8</v>
      </c>
      <c r="J77" s="12" t="inlineStr">
        <is>
          <t>Nan</t>
        </is>
      </c>
      <c r="K77" s="12" t="inlineStr">
        <is>
          <t>Nan</t>
        </is>
      </c>
      <c r="L77" s="14" t="n">
        <v>25</v>
      </c>
      <c r="M77" s="84" t="n">
        <v>358.3519349449317</v>
      </c>
      <c r="N77" s="15" t="n">
        <v>5</v>
      </c>
      <c r="O77" s="84" t="n">
        <v>32.04016327047184</v>
      </c>
      <c r="P77" s="15" t="inlineStr">
        <is>
          <t>Nan</t>
        </is>
      </c>
      <c r="Q77" s="15" t="inlineStr">
        <is>
          <t>Nan</t>
        </is>
      </c>
      <c r="R77" s="15" t="inlineStr">
        <is>
          <t>Nan</t>
        </is>
      </c>
      <c r="S77" s="17" t="n">
        <v>5.2</v>
      </c>
      <c r="T77" s="17" t="inlineStr">
        <is>
          <t>Nan</t>
        </is>
      </c>
      <c r="U77" s="17" t="n">
        <v>6.8</v>
      </c>
      <c r="V77" s="17" t="inlineStr">
        <is>
          <t>Nan</t>
        </is>
      </c>
      <c r="W77" s="17" t="inlineStr">
        <is>
          <t>Nan</t>
        </is>
      </c>
      <c r="X77" s="17" t="inlineStr">
        <is>
          <t>Nan</t>
        </is>
      </c>
      <c r="Y77" s="17" t="inlineStr">
        <is>
          <t>Nan</t>
        </is>
      </c>
      <c r="Z77" s="17" t="inlineStr">
        <is>
          <t>Nan</t>
        </is>
      </c>
      <c r="AA77" s="83" t="n">
        <v>18.2</v>
      </c>
      <c r="AB77" s="17" t="inlineStr">
        <is>
          <t>Nan</t>
        </is>
      </c>
      <c r="AC77" s="17" t="inlineStr">
        <is>
          <t>Nan</t>
        </is>
      </c>
      <c r="AD77" s="17" t="n">
        <v>60</v>
      </c>
      <c r="AE77" s="17" t="inlineStr">
        <is>
          <t>Nan</t>
        </is>
      </c>
      <c r="AF77" s="17" t="inlineStr">
        <is>
          <t>Nan</t>
        </is>
      </c>
      <c r="AG77" s="17" t="inlineStr">
        <is>
          <t>Nan</t>
        </is>
      </c>
      <c r="AH77" s="17" t="inlineStr">
        <is>
          <t>Nan</t>
        </is>
      </c>
      <c r="AI77" s="17" t="inlineStr">
        <is>
          <t>Nan</t>
        </is>
      </c>
      <c r="AJ77" s="17" t="inlineStr">
        <is>
          <t>Nan</t>
        </is>
      </c>
      <c r="AK77" s="17" t="inlineStr">
        <is>
          <t>Nan</t>
        </is>
      </c>
      <c r="AL77" s="17" t="inlineStr">
        <is>
          <t>Nan</t>
        </is>
      </c>
      <c r="AM77" s="63" t="n">
        <v>2</v>
      </c>
      <c r="AN77" s="65" t="n">
        <v>1</v>
      </c>
      <c r="AO77" s="65" t="n">
        <v>1</v>
      </c>
      <c r="AP77" s="65" t="n">
        <v>4</v>
      </c>
      <c r="AQ77" s="65" t="n">
        <v>1</v>
      </c>
      <c r="AR77" s="65" t="n">
        <v>1</v>
      </c>
      <c r="AS77" s="65" t="n">
        <v>1</v>
      </c>
    </row>
    <row r="78" ht="18.75" customHeight="1">
      <c r="A78" s="61" t="inlineStr">
        <is>
          <t>Puma LE</t>
        </is>
      </c>
      <c r="B78" s="10" t="inlineStr">
        <is>
          <t>Nan</t>
        </is>
      </c>
      <c r="C78" s="79" t="n">
        <v>5000</v>
      </c>
      <c r="D78" s="10" t="inlineStr">
        <is>
          <t>Nan</t>
        </is>
      </c>
      <c r="E78" s="10" t="n">
        <v>12000</v>
      </c>
      <c r="F78" s="10" t="inlineStr">
        <is>
          <t>Nan</t>
        </is>
      </c>
      <c r="G78" s="12" t="inlineStr">
        <is>
          <t>Nan</t>
        </is>
      </c>
      <c r="H78" s="12" t="inlineStr">
        <is>
          <t>Nan</t>
        </is>
      </c>
      <c r="I78" s="12" t="n">
        <v>2.2</v>
      </c>
      <c r="J78" s="12" t="inlineStr">
        <is>
          <t>Nan</t>
        </is>
      </c>
      <c r="K78" s="12" t="inlineStr">
        <is>
          <t>Nan</t>
        </is>
      </c>
      <c r="L78" s="14" t="n">
        <v>10.7</v>
      </c>
      <c r="M78" s="15" t="inlineStr">
        <is>
          <t>Nan</t>
        </is>
      </c>
      <c r="N78" s="15" t="n">
        <v>6.5</v>
      </c>
      <c r="O78" s="15" t="inlineStr">
        <is>
          <t>Nan</t>
        </is>
      </c>
      <c r="P78" s="15" t="inlineStr">
        <is>
          <t>Nan</t>
        </is>
      </c>
      <c r="Q78" s="15" t="inlineStr">
        <is>
          <t>Nan</t>
        </is>
      </c>
      <c r="R78" s="15" t="inlineStr">
        <is>
          <t>Nan</t>
        </is>
      </c>
      <c r="S78" s="17" t="n">
        <v>4.6</v>
      </c>
      <c r="T78" s="17" t="inlineStr">
        <is>
          <t>Nan</t>
        </is>
      </c>
      <c r="U78" s="17" t="inlineStr">
        <is>
          <t>Nan</t>
        </is>
      </c>
      <c r="V78" s="17" t="inlineStr">
        <is>
          <t>Nan</t>
        </is>
      </c>
      <c r="W78" s="17" t="inlineStr">
        <is>
          <t>Nan</t>
        </is>
      </c>
      <c r="X78" s="17" t="inlineStr">
        <is>
          <t>Nan</t>
        </is>
      </c>
      <c r="Y78" s="17" t="inlineStr">
        <is>
          <t>Nan</t>
        </is>
      </c>
      <c r="Z78" s="17" t="inlineStr">
        <is>
          <t>Nan</t>
        </is>
      </c>
      <c r="AA78" s="17" t="inlineStr">
        <is>
          <t>Nan</t>
        </is>
      </c>
      <c r="AB78" s="17" t="inlineStr">
        <is>
          <t>Nan</t>
        </is>
      </c>
      <c r="AC78" s="17" t="inlineStr">
        <is>
          <t>Nan</t>
        </is>
      </c>
      <c r="AD78" s="17" t="n">
        <v>60</v>
      </c>
      <c r="AE78" s="17" t="inlineStr">
        <is>
          <t>Nan</t>
        </is>
      </c>
      <c r="AF78" s="17" t="inlineStr">
        <is>
          <t>Nan</t>
        </is>
      </c>
      <c r="AG78" s="17" t="inlineStr">
        <is>
          <t>Nan</t>
        </is>
      </c>
      <c r="AH78" s="17" t="inlineStr">
        <is>
          <t>Nan</t>
        </is>
      </c>
      <c r="AI78" s="17" t="inlineStr">
        <is>
          <t>Nan</t>
        </is>
      </c>
      <c r="AJ78" s="17" t="inlineStr">
        <is>
          <t>Nan</t>
        </is>
      </c>
      <c r="AK78" s="17" t="inlineStr">
        <is>
          <t>Nan</t>
        </is>
      </c>
      <c r="AL78" s="17" t="inlineStr">
        <is>
          <t>Nan</t>
        </is>
      </c>
      <c r="AM78" s="63" t="n">
        <v>1</v>
      </c>
      <c r="AN78" s="65" t="n">
        <v>1</v>
      </c>
      <c r="AO78" s="65" t="n">
        <v>0</v>
      </c>
      <c r="AP78" s="65" t="n">
        <v>0</v>
      </c>
      <c r="AQ78" s="65" t="n">
        <v>1</v>
      </c>
      <c r="AR78" s="65" t="n">
        <v>1</v>
      </c>
      <c r="AS78" s="65" t="n">
        <v>1</v>
      </c>
    </row>
    <row r="79" ht="18.75" customHeight="1">
      <c r="A79" s="61" t="inlineStr">
        <is>
          <t>Puma 3 AE</t>
        </is>
      </c>
      <c r="B79" s="10" t="inlineStr">
        <is>
          <t>Nan</t>
        </is>
      </c>
      <c r="C79" s="79" t="n">
        <v>5000</v>
      </c>
      <c r="D79" s="79" t="n">
        <v>24.83</v>
      </c>
      <c r="E79" s="10" t="n">
        <v>15000</v>
      </c>
      <c r="F79" s="10" t="inlineStr">
        <is>
          <t>Nan</t>
        </is>
      </c>
      <c r="G79" s="12" t="inlineStr">
        <is>
          <t>Nan</t>
        </is>
      </c>
      <c r="H79" s="12" t="inlineStr">
        <is>
          <t>Nan</t>
        </is>
      </c>
      <c r="I79" s="12" t="n">
        <v>1.4</v>
      </c>
      <c r="J79" s="12" t="inlineStr">
        <is>
          <t>Nan</t>
        </is>
      </c>
      <c r="K79" s="12" t="inlineStr">
        <is>
          <t>Nan</t>
        </is>
      </c>
      <c r="L79" s="14" t="n">
        <v>6.8</v>
      </c>
      <c r="M79" s="85" t="n">
        <v>248.94</v>
      </c>
      <c r="N79" s="15" t="n">
        <v>3</v>
      </c>
      <c r="O79" s="15" t="inlineStr">
        <is>
          <t>Nan</t>
        </is>
      </c>
      <c r="P79" s="15" t="inlineStr">
        <is>
          <t>Nan</t>
        </is>
      </c>
      <c r="Q79" s="15" t="inlineStr">
        <is>
          <t>Nan</t>
        </is>
      </c>
      <c r="R79" s="15" t="inlineStr">
        <is>
          <t>Nan</t>
        </is>
      </c>
      <c r="S79" s="17" t="n">
        <v>2.8</v>
      </c>
      <c r="T79" s="17" t="inlineStr">
        <is>
          <t>Nan</t>
        </is>
      </c>
      <c r="U79" s="17" t="inlineStr">
        <is>
          <t>Nan</t>
        </is>
      </c>
      <c r="V79" s="17" t="inlineStr">
        <is>
          <t>Nan</t>
        </is>
      </c>
      <c r="W79" s="17" t="n">
        <v>23.05</v>
      </c>
      <c r="X79" s="17" t="inlineStr">
        <is>
          <t>Nan</t>
        </is>
      </c>
      <c r="Y79" s="17" t="inlineStr">
        <is>
          <t>Nan</t>
        </is>
      </c>
      <c r="Z79" s="17" t="inlineStr">
        <is>
          <t>Nan</t>
        </is>
      </c>
      <c r="AA79" s="17" t="inlineStr">
        <is>
          <t>Nan</t>
        </is>
      </c>
      <c r="AB79" s="17" t="inlineStr">
        <is>
          <t>Nan</t>
        </is>
      </c>
      <c r="AC79" s="17" t="inlineStr">
        <is>
          <t>Nan</t>
        </is>
      </c>
      <c r="AD79" s="17" t="n">
        <v>20</v>
      </c>
      <c r="AE79" s="17" t="inlineStr">
        <is>
          <t>Nan</t>
        </is>
      </c>
      <c r="AF79" s="17" t="inlineStr">
        <is>
          <t>Nan</t>
        </is>
      </c>
      <c r="AG79" s="17" t="inlineStr">
        <is>
          <t>Nan</t>
        </is>
      </c>
      <c r="AH79" s="17" t="inlineStr">
        <is>
          <t>Nan</t>
        </is>
      </c>
      <c r="AI79" s="17" t="inlineStr">
        <is>
          <t>Nan</t>
        </is>
      </c>
      <c r="AJ79" s="17" t="inlineStr">
        <is>
          <t>Nan</t>
        </is>
      </c>
      <c r="AK79" s="17" t="inlineStr">
        <is>
          <t>Nan</t>
        </is>
      </c>
      <c r="AL79" s="17" t="inlineStr">
        <is>
          <t>Nan</t>
        </is>
      </c>
      <c r="AM79" s="63" t="n">
        <v>1</v>
      </c>
      <c r="AN79" s="65" t="n">
        <v>1</v>
      </c>
      <c r="AO79" s="65" t="n">
        <v>0</v>
      </c>
      <c r="AP79" s="65" t="n">
        <v>0</v>
      </c>
      <c r="AQ79" s="65" t="n">
        <v>1</v>
      </c>
      <c r="AR79" s="65" t="n">
        <v>1</v>
      </c>
      <c r="AS79" s="65" t="n">
        <v>1</v>
      </c>
    </row>
    <row r="80" ht="18.75" customHeight="1">
      <c r="A80" s="61" t="inlineStr">
        <is>
          <t>Raven B (RQ-11B)</t>
        </is>
      </c>
      <c r="B80" s="10" t="inlineStr">
        <is>
          <t>Nan</t>
        </is>
      </c>
      <c r="C80" s="78" t="n">
        <v>5000</v>
      </c>
      <c r="D80" s="10" t="inlineStr">
        <is>
          <t>Nan</t>
        </is>
      </c>
      <c r="E80" s="10" t="inlineStr">
        <is>
          <t>Nan</t>
        </is>
      </c>
      <c r="F80" s="10" t="inlineStr">
        <is>
          <t>Nan</t>
        </is>
      </c>
      <c r="G80" s="12" t="inlineStr">
        <is>
          <t>Nan</t>
        </is>
      </c>
      <c r="H80" s="12" t="inlineStr">
        <is>
          <t>Nan</t>
        </is>
      </c>
      <c r="I80" s="12" t="n">
        <v>0.9</v>
      </c>
      <c r="J80" s="12" t="inlineStr">
        <is>
          <t>Nan</t>
        </is>
      </c>
      <c r="K80" s="12" t="inlineStr">
        <is>
          <t>Nan</t>
        </is>
      </c>
      <c r="L80" s="14" t="n">
        <v>2.2</v>
      </c>
      <c r="M80" s="15" t="inlineStr">
        <is>
          <t>Nan</t>
        </is>
      </c>
      <c r="N80" s="15" t="n">
        <v>1.5</v>
      </c>
      <c r="O80" s="15" t="inlineStr">
        <is>
          <t>Nan</t>
        </is>
      </c>
      <c r="P80" s="15" t="inlineStr">
        <is>
          <t>Nan</t>
        </is>
      </c>
      <c r="Q80" s="15" t="inlineStr">
        <is>
          <t>Nan</t>
        </is>
      </c>
      <c r="R80" s="15" t="inlineStr">
        <is>
          <t>Nan</t>
        </is>
      </c>
      <c r="S80" s="17" t="n">
        <v>1.4</v>
      </c>
      <c r="T80" s="17" t="inlineStr">
        <is>
          <t>Nan</t>
        </is>
      </c>
      <c r="U80" s="86" t="inlineStr">
        <is>
          <t>Nan</t>
        </is>
      </c>
      <c r="V80" s="17" t="inlineStr">
        <is>
          <t>Nan</t>
        </is>
      </c>
      <c r="W80" s="17" t="inlineStr">
        <is>
          <t>Nan</t>
        </is>
      </c>
      <c r="X80" s="17" t="inlineStr">
        <is>
          <t>Nan</t>
        </is>
      </c>
      <c r="Y80" s="17" t="inlineStr">
        <is>
          <t>Nan</t>
        </is>
      </c>
      <c r="Z80" s="17" t="inlineStr">
        <is>
          <t>Nan</t>
        </is>
      </c>
      <c r="AA80" s="86" t="inlineStr">
        <is>
          <t>Nan</t>
        </is>
      </c>
      <c r="AB80" s="17" t="inlineStr">
        <is>
          <t>Nan</t>
        </is>
      </c>
      <c r="AC80" s="17" t="inlineStr">
        <is>
          <t>Nan</t>
        </is>
      </c>
      <c r="AD80" s="17" t="n">
        <v>10</v>
      </c>
      <c r="AE80" s="17" t="inlineStr">
        <is>
          <t>Nan</t>
        </is>
      </c>
      <c r="AF80" s="17" t="inlineStr">
        <is>
          <t>Nan</t>
        </is>
      </c>
      <c r="AG80" s="17" t="inlineStr">
        <is>
          <t>Nan</t>
        </is>
      </c>
      <c r="AH80" s="17" t="inlineStr">
        <is>
          <t>Nan</t>
        </is>
      </c>
      <c r="AI80" s="17" t="inlineStr">
        <is>
          <t>Nan</t>
        </is>
      </c>
      <c r="AJ80" s="17" t="inlineStr">
        <is>
          <t>Nan</t>
        </is>
      </c>
      <c r="AK80" s="17" t="inlineStr">
        <is>
          <t>Nan</t>
        </is>
      </c>
      <c r="AL80" s="17" t="inlineStr">
        <is>
          <t>Nan</t>
        </is>
      </c>
      <c r="AM80" s="63" t="n">
        <v>1</v>
      </c>
      <c r="AN80" s="65" t="n">
        <v>1</v>
      </c>
      <c r="AO80" s="65" t="n">
        <v>0</v>
      </c>
      <c r="AP80" s="65" t="n">
        <v>0</v>
      </c>
      <c r="AQ80" s="65" t="n">
        <v>1</v>
      </c>
      <c r="AR80" s="65" t="n">
        <v>1</v>
      </c>
      <c r="AS80" s="65" t="n">
        <v>1</v>
      </c>
    </row>
    <row r="81" ht="18.75" customHeight="1">
      <c r="A81" s="61" t="inlineStr">
        <is>
          <t>Minibe (BETA UAS / PT Pindad)</t>
        </is>
      </c>
      <c r="B81" s="10" t="inlineStr">
        <is>
          <t>Nan</t>
        </is>
      </c>
      <c r="C81" s="78" t="n">
        <v>5000</v>
      </c>
      <c r="D81" s="10" t="inlineStr">
        <is>
          <t>Nan</t>
        </is>
      </c>
      <c r="E81" s="10" t="inlineStr">
        <is>
          <t>Nan</t>
        </is>
      </c>
      <c r="F81" s="10" t="inlineStr">
        <is>
          <t>Nan</t>
        </is>
      </c>
      <c r="G81" s="12" t="inlineStr">
        <is>
          <t>Nan</t>
        </is>
      </c>
      <c r="H81" s="12" t="inlineStr">
        <is>
          <t>Nan</t>
        </is>
      </c>
      <c r="I81" s="12" t="n">
        <v>0.8</v>
      </c>
      <c r="J81" s="12" t="inlineStr">
        <is>
          <t>Nan</t>
        </is>
      </c>
      <c r="K81" s="12" t="inlineStr">
        <is>
          <t>Nan</t>
        </is>
      </c>
      <c r="L81" s="14" t="n">
        <v>6</v>
      </c>
      <c r="M81" s="15" t="inlineStr">
        <is>
          <t>Nan</t>
        </is>
      </c>
      <c r="N81" s="15" t="n">
        <v>0.25</v>
      </c>
      <c r="O81" s="15" t="inlineStr">
        <is>
          <t>Nan</t>
        </is>
      </c>
      <c r="P81" s="15" t="inlineStr">
        <is>
          <t>Nan</t>
        </is>
      </c>
      <c r="Q81" s="15" t="inlineStr">
        <is>
          <t>Nan</t>
        </is>
      </c>
      <c r="R81" s="15" t="inlineStr">
        <is>
          <t>Nan</t>
        </is>
      </c>
      <c r="S81" s="17" t="n">
        <v>1.3</v>
      </c>
      <c r="T81" s="17" t="inlineStr">
        <is>
          <t>Nan</t>
        </is>
      </c>
      <c r="U81" s="17" t="n">
        <v>0.8</v>
      </c>
      <c r="V81" s="17" t="inlineStr">
        <is>
          <t>Nan</t>
        </is>
      </c>
      <c r="W81" s="17" t="inlineStr">
        <is>
          <t>Nan</t>
        </is>
      </c>
      <c r="X81" s="17" t="inlineStr">
        <is>
          <t>Nan</t>
        </is>
      </c>
      <c r="Y81" s="17" t="inlineStr">
        <is>
          <t>Nan</t>
        </is>
      </c>
      <c r="Z81" s="17" t="inlineStr">
        <is>
          <t>Nan</t>
        </is>
      </c>
      <c r="AA81" s="83" t="n">
        <v>5.2</v>
      </c>
      <c r="AB81" s="17" t="inlineStr">
        <is>
          <t>Nan</t>
        </is>
      </c>
      <c r="AC81" s="17" t="inlineStr">
        <is>
          <t>Nan</t>
        </is>
      </c>
      <c r="AD81" s="17" t="n">
        <v>25</v>
      </c>
      <c r="AE81" s="17" t="inlineStr">
        <is>
          <t>Nan</t>
        </is>
      </c>
      <c r="AF81" s="17" t="inlineStr">
        <is>
          <t>Nan</t>
        </is>
      </c>
      <c r="AG81" s="17" t="inlineStr">
        <is>
          <t>Nan</t>
        </is>
      </c>
      <c r="AH81" s="17" t="inlineStr">
        <is>
          <t>Nan</t>
        </is>
      </c>
      <c r="AI81" s="17" t="inlineStr">
        <is>
          <t>Nan</t>
        </is>
      </c>
      <c r="AJ81" s="17" t="inlineStr">
        <is>
          <t>Nan</t>
        </is>
      </c>
      <c r="AK81" s="17" t="inlineStr">
        <is>
          <t>Nan</t>
        </is>
      </c>
      <c r="AL81" s="17" t="inlineStr">
        <is>
          <t>Nan</t>
        </is>
      </c>
      <c r="AM81" s="63" t="n">
        <v>1</v>
      </c>
      <c r="AN81" s="65" t="n">
        <v>1</v>
      </c>
      <c r="AO81" s="65" t="n">
        <v>0</v>
      </c>
      <c r="AP81" s="65" t="n">
        <v>0</v>
      </c>
      <c r="AQ81" s="65" t="n">
        <v>1</v>
      </c>
      <c r="AR81" s="65" t="n">
        <v>6</v>
      </c>
      <c r="AS81" s="65" t="n">
        <v>3</v>
      </c>
    </row>
    <row r="82" ht="18.75" customHeight="1">
      <c r="A82" s="61" t="inlineStr">
        <is>
          <t>Raybe (BETA UAS)</t>
        </is>
      </c>
      <c r="B82" s="10" t="inlineStr">
        <is>
          <t>Nan</t>
        </is>
      </c>
      <c r="C82" s="78" t="n">
        <v>5000</v>
      </c>
      <c r="D82" s="79" t="n">
        <v>18.31</v>
      </c>
      <c r="E82" s="10" t="inlineStr">
        <is>
          <t>Nan</t>
        </is>
      </c>
      <c r="F82" s="10" t="n">
        <v>14</v>
      </c>
      <c r="G82" s="12" t="inlineStr">
        <is>
          <t>Nan</t>
        </is>
      </c>
      <c r="H82" s="12" t="inlineStr">
        <is>
          <t>Nan</t>
        </is>
      </c>
      <c r="I82" s="12" t="n">
        <v>1.27</v>
      </c>
      <c r="J82" s="12" t="inlineStr">
        <is>
          <t>Nan</t>
        </is>
      </c>
      <c r="K82" s="12" t="inlineStr">
        <is>
          <t>Nan</t>
        </is>
      </c>
      <c r="L82" s="14" t="n">
        <v>5.2</v>
      </c>
      <c r="M82" s="85" t="n">
        <v>50.8</v>
      </c>
      <c r="N82" s="15" t="n">
        <v>0.83</v>
      </c>
      <c r="O82" s="15" t="n">
        <v>22</v>
      </c>
      <c r="P82" s="15" t="inlineStr">
        <is>
          <t>Nan</t>
        </is>
      </c>
      <c r="Q82" s="15" t="inlineStr">
        <is>
          <t>Nan</t>
        </is>
      </c>
      <c r="R82" s="15" t="inlineStr">
        <is>
          <t>Nan</t>
        </is>
      </c>
      <c r="S82" s="17" t="n">
        <v>1.83</v>
      </c>
      <c r="T82" s="17" t="inlineStr">
        <is>
          <t>Nan</t>
        </is>
      </c>
      <c r="U82" s="17" t="n">
        <v>0.5</v>
      </c>
      <c r="V82" s="17" t="inlineStr">
        <is>
          <t>Nan</t>
        </is>
      </c>
      <c r="W82" s="17" t="n">
        <v>17</v>
      </c>
      <c r="X82" s="17" t="inlineStr">
        <is>
          <t>Nan</t>
        </is>
      </c>
      <c r="Y82" s="17" t="inlineStr">
        <is>
          <t>Nan</t>
        </is>
      </c>
      <c r="Z82" s="17" t="inlineStr">
        <is>
          <t>Nan</t>
        </is>
      </c>
      <c r="AA82" s="17" t="n">
        <v>3.65</v>
      </c>
      <c r="AB82" s="17" t="inlineStr">
        <is>
          <t>Nan</t>
        </is>
      </c>
      <c r="AC82" s="17" t="inlineStr">
        <is>
          <t>Nan</t>
        </is>
      </c>
      <c r="AD82" s="17" t="n">
        <v>8</v>
      </c>
      <c r="AE82" s="17" t="inlineStr">
        <is>
          <t>Nan</t>
        </is>
      </c>
      <c r="AF82" s="17" t="inlineStr">
        <is>
          <t>Nan</t>
        </is>
      </c>
      <c r="AG82" s="17" t="inlineStr">
        <is>
          <t>Nan</t>
        </is>
      </c>
      <c r="AH82" s="17" t="inlineStr">
        <is>
          <t>Nan</t>
        </is>
      </c>
      <c r="AI82" s="17" t="inlineStr">
        <is>
          <t>Nan</t>
        </is>
      </c>
      <c r="AJ82" s="17" t="inlineStr">
        <is>
          <t>Nan</t>
        </is>
      </c>
      <c r="AK82" s="17" t="inlineStr">
        <is>
          <t>Nan</t>
        </is>
      </c>
      <c r="AL82" s="17" t="inlineStr">
        <is>
          <t>Nan</t>
        </is>
      </c>
      <c r="AM82" s="63" t="n">
        <v>2</v>
      </c>
      <c r="AN82" s="65" t="n">
        <v>1</v>
      </c>
      <c r="AO82" s="65" t="n">
        <v>1</v>
      </c>
      <c r="AP82" s="65" t="n">
        <v>3</v>
      </c>
      <c r="AQ82" s="65" t="n">
        <v>2</v>
      </c>
      <c r="AR82" s="65" t="n">
        <v>1</v>
      </c>
      <c r="AS82" s="65" t="n">
        <v>3</v>
      </c>
    </row>
    <row r="83" ht="18.75" customHeight="1">
      <c r="A83" s="61" t="inlineStr">
        <is>
          <t>Ruppel (BETA UAS)</t>
        </is>
      </c>
      <c r="B83" s="10" t="inlineStr">
        <is>
          <t>Nan</t>
        </is>
      </c>
      <c r="C83" s="78" t="n">
        <v>5000</v>
      </c>
      <c r="D83" s="86" t="inlineStr">
        <is>
          <t>Nan</t>
        </is>
      </c>
      <c r="E83" s="10" t="inlineStr">
        <is>
          <t>Nan</t>
        </is>
      </c>
      <c r="F83" s="86" t="inlineStr">
        <is>
          <t>Nan</t>
        </is>
      </c>
      <c r="G83" s="12" t="inlineStr">
        <is>
          <t>Nan</t>
        </is>
      </c>
      <c r="H83" s="12" t="inlineStr">
        <is>
          <t>Nan</t>
        </is>
      </c>
      <c r="I83" s="12" t="n">
        <v>2.3</v>
      </c>
      <c r="J83" s="12" t="inlineStr">
        <is>
          <t>Nan</t>
        </is>
      </c>
      <c r="K83" s="12" t="inlineStr">
        <is>
          <t>Nan</t>
        </is>
      </c>
      <c r="L83" s="14" t="n">
        <v>30</v>
      </c>
      <c r="M83" s="86" t="inlineStr">
        <is>
          <t>Nan</t>
        </is>
      </c>
      <c r="N83" s="15" t="n">
        <v>1</v>
      </c>
      <c r="O83" s="87" t="n">
        <v>37.61895547878124</v>
      </c>
      <c r="P83" s="15" t="inlineStr">
        <is>
          <t>Nan</t>
        </is>
      </c>
      <c r="Q83" s="15" t="inlineStr">
        <is>
          <t>Nan</t>
        </is>
      </c>
      <c r="R83" s="15" t="inlineStr">
        <is>
          <t>Nan</t>
        </is>
      </c>
      <c r="S83" s="17" t="n">
        <v>3.9</v>
      </c>
      <c r="T83" s="17" t="inlineStr">
        <is>
          <t>Nan</t>
        </is>
      </c>
      <c r="U83" s="17" t="n">
        <v>10</v>
      </c>
      <c r="V83" s="17" t="inlineStr">
        <is>
          <t>Nan</t>
        </is>
      </c>
      <c r="W83" s="86" t="inlineStr">
        <is>
          <t>Nan</t>
        </is>
      </c>
      <c r="X83" s="17" t="inlineStr">
        <is>
          <t>Nan</t>
        </is>
      </c>
      <c r="Y83" s="17" t="inlineStr">
        <is>
          <t>Nan</t>
        </is>
      </c>
      <c r="Z83" s="17" t="inlineStr">
        <is>
          <t>Nan</t>
        </is>
      </c>
      <c r="AA83" s="83" t="n">
        <v>20</v>
      </c>
      <c r="AB83" s="17" t="inlineStr">
        <is>
          <t>Nan</t>
        </is>
      </c>
      <c r="AC83" s="17" t="inlineStr">
        <is>
          <t>Nan</t>
        </is>
      </c>
      <c r="AD83" s="17" t="n">
        <v>50</v>
      </c>
      <c r="AE83" s="17" t="inlineStr">
        <is>
          <t>Nan</t>
        </is>
      </c>
      <c r="AF83" s="17" t="inlineStr">
        <is>
          <t>Nan</t>
        </is>
      </c>
      <c r="AG83" s="17" t="inlineStr">
        <is>
          <t>Nan</t>
        </is>
      </c>
      <c r="AH83" s="17" t="inlineStr">
        <is>
          <t>Nan</t>
        </is>
      </c>
      <c r="AI83" s="17" t="inlineStr">
        <is>
          <t>Nan</t>
        </is>
      </c>
      <c r="AJ83" s="17" t="inlineStr">
        <is>
          <t>Nan</t>
        </is>
      </c>
      <c r="AK83" s="17" t="inlineStr">
        <is>
          <t>Nan</t>
        </is>
      </c>
      <c r="AL83" s="17" t="inlineStr">
        <is>
          <t>Nan</t>
        </is>
      </c>
      <c r="AM83" s="63" t="n">
        <v>1</v>
      </c>
      <c r="AN83" s="65" t="n">
        <v>2</v>
      </c>
      <c r="AO83" s="65" t="n">
        <v>1</v>
      </c>
      <c r="AP83" s="65" t="n">
        <v>4</v>
      </c>
      <c r="AQ83" s="65" t="n">
        <v>1</v>
      </c>
      <c r="AR83" s="65" t="n">
        <v>1</v>
      </c>
      <c r="AS83" s="65" t="n">
        <v>3</v>
      </c>
    </row>
    <row r="84" ht="18.75" customHeight="1">
      <c r="A84" s="61" t="inlineStr">
        <is>
          <t>Omnibe (BETA UAS)</t>
        </is>
      </c>
      <c r="B84" s="86" t="inlineStr">
        <is>
          <t>Nan</t>
        </is>
      </c>
      <c r="C84" s="78" t="n">
        <v>5000</v>
      </c>
      <c r="D84" s="79" t="n">
        <v>20.47</v>
      </c>
      <c r="E84" s="86" t="inlineStr">
        <is>
          <t>Nan</t>
        </is>
      </c>
      <c r="F84" s="10" t="n">
        <v>14</v>
      </c>
      <c r="G84" s="87" t="n">
        <v>1.311210755907892</v>
      </c>
      <c r="H84" s="87" t="n">
        <v>14.21120159992335</v>
      </c>
      <c r="I84" s="12" t="n">
        <v>2</v>
      </c>
      <c r="J84" s="86" t="inlineStr">
        <is>
          <t>Nan</t>
        </is>
      </c>
      <c r="K84" s="87" t="n">
        <v>0.2321318253920656</v>
      </c>
      <c r="L84" s="14" t="n">
        <v>12</v>
      </c>
      <c r="M84" s="85" t="n">
        <v>102.6</v>
      </c>
      <c r="N84" s="15" t="n">
        <v>1.5</v>
      </c>
      <c r="O84" s="15" t="n">
        <v>28</v>
      </c>
      <c r="P84" s="87" t="n">
        <v>14</v>
      </c>
      <c r="Q84" s="86" t="inlineStr">
        <is>
          <t>Nan</t>
        </is>
      </c>
      <c r="R84" s="86" t="inlineStr">
        <is>
          <t>Nan</t>
        </is>
      </c>
      <c r="S84" s="17" t="n">
        <v>2.9</v>
      </c>
      <c r="T84" s="86" t="inlineStr">
        <is>
          <t>Nan</t>
        </is>
      </c>
      <c r="U84" s="17" t="n">
        <v>1.5</v>
      </c>
      <c r="V84" s="86" t="inlineStr">
        <is>
          <t>Nan</t>
        </is>
      </c>
      <c r="W84" s="17" t="n">
        <v>19</v>
      </c>
      <c r="X84" s="86" t="inlineStr">
        <is>
          <t>Nan</t>
        </is>
      </c>
      <c r="Y84" s="86" t="inlineStr">
        <is>
          <t>Nan</t>
        </is>
      </c>
      <c r="Z84" s="87" t="n">
        <v>7.770878780742628</v>
      </c>
      <c r="AA84" s="17" t="n">
        <v>7</v>
      </c>
      <c r="AB84" s="86" t="inlineStr">
        <is>
          <t>Nan</t>
        </is>
      </c>
      <c r="AC84" s="86" t="inlineStr">
        <is>
          <t>Nan</t>
        </is>
      </c>
      <c r="AD84" s="17" t="n">
        <v>17</v>
      </c>
      <c r="AE84" s="86" t="inlineStr">
        <is>
          <t>Nan</t>
        </is>
      </c>
      <c r="AF84" s="86" t="inlineStr">
        <is>
          <t>Nan</t>
        </is>
      </c>
      <c r="AG84" s="86" t="inlineStr">
        <is>
          <t>Nan</t>
        </is>
      </c>
      <c r="AH84" s="86" t="inlineStr">
        <is>
          <t>Nan</t>
        </is>
      </c>
      <c r="AI84" s="86" t="inlineStr">
        <is>
          <t>Nan</t>
        </is>
      </c>
      <c r="AJ84" s="86" t="inlineStr">
        <is>
          <t>Nan</t>
        </is>
      </c>
      <c r="AK84" s="86" t="inlineStr">
        <is>
          <t>Nan</t>
        </is>
      </c>
      <c r="AL84" s="86" t="inlineStr">
        <is>
          <t>Nan</t>
        </is>
      </c>
      <c r="AM84" s="63" t="n">
        <v>1</v>
      </c>
      <c r="AN84" s="65" t="n">
        <v>1</v>
      </c>
      <c r="AO84" s="65" t="n">
        <v>1</v>
      </c>
      <c r="AP84" s="65" t="n">
        <v>4</v>
      </c>
      <c r="AQ84" s="65" t="n">
        <v>1</v>
      </c>
      <c r="AR84" s="65" t="n">
        <v>1</v>
      </c>
      <c r="AS84" s="65"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r:id="anysvml"/>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E27" sqref="E27"/>
    </sheetView>
  </sheetViews>
  <sheetFormatPr baseColWidth="10" defaultRowHeight="15"/>
  <sheetData>
    <row r="1" ht="78.75" customHeight="1">
      <c r="A1" s="57" t="inlineStr">
        <is>
          <t>Modelo aeronave</t>
        </is>
      </c>
      <c r="B1" s="57" t="inlineStr">
        <is>
          <t>Peso máximo al despegue (MTOW)</t>
        </is>
      </c>
      <c r="C1" s="56" t="inlineStr">
        <is>
          <t>Payload</t>
        </is>
      </c>
      <c r="D1" s="56" t="inlineStr">
        <is>
          <t>Potencia HP</t>
        </is>
      </c>
      <c r="E1" s="56" t="inlineStr">
        <is>
          <t>Envergadura</t>
        </is>
      </c>
      <c r="F1" s="56" t="inlineStr">
        <is>
          <t>Alcance de la aeronave</t>
        </is>
      </c>
      <c r="G1" s="56" t="inlineStr">
        <is>
          <t>Velocidad a la que se realiza el crucero (KTAS)</t>
        </is>
      </c>
      <c r="H1" s="57" t="inlineStr">
        <is>
          <t>Cantidad de motores</t>
        </is>
      </c>
      <c r="I1" s="56" t="inlineStr">
        <is>
          <t>Ancho del fuselaje</t>
        </is>
      </c>
      <c r="J1" s="56" t="inlineStr">
        <is>
          <t>Rango de comunicación</t>
        </is>
      </c>
      <c r="K1" s="57" t="inlineStr">
        <is>
          <t>Misión</t>
        </is>
      </c>
      <c r="L1" s="55" t="inlineStr">
        <is>
          <t>Despegue</t>
        </is>
      </c>
      <c r="M1" s="60" t="inlineStr">
        <is>
          <t>Propulsión horizontal</t>
        </is>
      </c>
      <c r="N1" s="60" t="inlineStr">
        <is>
          <t>Propulsión vertical</t>
        </is>
      </c>
      <c r="O1" s="60" t="inlineStr">
        <is>
          <t>Cantidad de motores propulsión vertical</t>
        </is>
      </c>
      <c r="P1" s="60" t="inlineStr">
        <is>
          <t>Cantidad de motores propulsión horizontal</t>
        </is>
      </c>
    </row>
    <row r="2">
      <c r="A2" s="58" t="inlineStr">
        <is>
          <t>A1</t>
        </is>
      </c>
      <c r="B2" s="59" t="n">
        <v>100</v>
      </c>
      <c r="C2" s="59" t="n">
        <v>20</v>
      </c>
      <c r="D2" s="59" t="n">
        <v>18</v>
      </c>
      <c r="E2" s="59" t="n">
        <v>4.52</v>
      </c>
      <c r="F2" s="59" t="n">
        <v>600</v>
      </c>
      <c r="G2" s="59" t="n">
        <v>40</v>
      </c>
      <c r="H2" s="59" t="n">
        <v>1</v>
      </c>
      <c r="I2" s="59" t="n">
        <v>0.25</v>
      </c>
      <c r="J2" s="59" t="n">
        <v>100</v>
      </c>
      <c r="K2" s="59" t="n">
        <v>1</v>
      </c>
      <c r="L2" s="3" t="n">
        <v>1</v>
      </c>
      <c r="M2" s="3" t="n">
        <v>2</v>
      </c>
      <c r="N2" s="3" t="n">
        <v>5</v>
      </c>
      <c r="O2" s="3" t="n">
        <v>0</v>
      </c>
      <c r="P2" s="3" t="n">
        <v>1</v>
      </c>
    </row>
    <row r="3">
      <c r="A3" s="58" t="inlineStr">
        <is>
          <t>A2</t>
        </is>
      </c>
      <c r="B3" s="59" t="n">
        <v>150</v>
      </c>
      <c r="C3" s="59" t="n">
        <v>32</v>
      </c>
      <c r="D3" s="59" t="n">
        <v>24</v>
      </c>
      <c r="E3" s="59" t="n">
        <v>5.64</v>
      </c>
      <c r="F3" s="59" t="n">
        <v>700</v>
      </c>
      <c r="G3" s="59" t="n">
        <v>38</v>
      </c>
      <c r="H3" s="59" t="n">
        <v>1</v>
      </c>
      <c r="I3" s="59" t="n">
        <v>0.21</v>
      </c>
      <c r="J3" s="59" t="n">
        <v>20</v>
      </c>
      <c r="K3" s="59" t="n">
        <v>1</v>
      </c>
      <c r="L3" s="3" t="n">
        <v>1</v>
      </c>
      <c r="M3" s="3" t="n">
        <v>2</v>
      </c>
      <c r="N3" s="3" t="n">
        <v>5</v>
      </c>
      <c r="O3" s="3" t="n">
        <v>0</v>
      </c>
      <c r="P3" s="3" t="n">
        <v>1</v>
      </c>
    </row>
    <row r="4">
      <c r="A4" s="58" t="inlineStr">
        <is>
          <t>A3</t>
        </is>
      </c>
      <c r="B4" s="59" t="n">
        <v>150</v>
      </c>
      <c r="C4" s="59" t="n">
        <v>32</v>
      </c>
      <c r="D4" s="59" t="inlineStr">
        <is>
          <t>nan</t>
        </is>
      </c>
      <c r="E4" s="59" t="inlineStr">
        <is>
          <t>nan</t>
        </is>
      </c>
      <c r="F4" s="59" t="inlineStr">
        <is>
          <t>nan</t>
        </is>
      </c>
      <c r="G4" s="59" t="inlineStr">
        <is>
          <t>nan</t>
        </is>
      </c>
      <c r="H4" s="59" t="n">
        <v>1</v>
      </c>
      <c r="I4" s="59" t="n">
        <v>0.23</v>
      </c>
      <c r="J4" s="59" t="n">
        <v>20</v>
      </c>
      <c r="K4" s="59" t="n">
        <v>1</v>
      </c>
      <c r="L4" s="3" t="n">
        <v>1</v>
      </c>
      <c r="M4" s="3" t="n">
        <v>2</v>
      </c>
      <c r="N4" s="3" t="n">
        <v>5</v>
      </c>
      <c r="O4" s="3" t="n">
        <v>0</v>
      </c>
      <c r="P4" s="3" t="n">
        <v>1</v>
      </c>
    </row>
    <row r="5">
      <c r="A5" s="58" t="inlineStr">
        <is>
          <t>A4</t>
        </is>
      </c>
      <c r="B5" s="59" t="n">
        <v>200</v>
      </c>
      <c r="C5" s="59" t="n">
        <v>40</v>
      </c>
      <c r="D5" s="59" t="n">
        <v>32</v>
      </c>
      <c r="E5" s="59" t="n">
        <v>6.39</v>
      </c>
      <c r="F5" s="59" t="n">
        <v>790</v>
      </c>
      <c r="G5" s="59" t="n">
        <v>34</v>
      </c>
      <c r="H5" s="59" t="n">
        <v>1</v>
      </c>
      <c r="I5" s="59" t="n">
        <v>0.26</v>
      </c>
      <c r="J5" s="59" t="n">
        <v>500</v>
      </c>
      <c r="K5" s="59" t="n">
        <v>1</v>
      </c>
      <c r="L5" s="3" t="n">
        <v>2</v>
      </c>
      <c r="M5" s="3" t="n">
        <v>2</v>
      </c>
      <c r="N5" s="3" t="n">
        <v>1</v>
      </c>
      <c r="O5" s="3" t="n">
        <v>4</v>
      </c>
      <c r="P5" s="3" t="n">
        <v>1</v>
      </c>
    </row>
    <row r="6">
      <c r="A6" s="58" t="inlineStr">
        <is>
          <t>A6</t>
        </is>
      </c>
      <c r="B6" s="59" t="n">
        <v>250</v>
      </c>
      <c r="C6" s="59" t="n">
        <v>52</v>
      </c>
      <c r="D6" s="59" t="n">
        <v>39</v>
      </c>
      <c r="E6" s="59" t="n">
        <v>7.36</v>
      </c>
      <c r="F6" s="59" t="n">
        <v>870</v>
      </c>
      <c r="G6" s="59" t="n">
        <v>42</v>
      </c>
      <c r="H6" s="59" t="n">
        <v>1</v>
      </c>
      <c r="I6" s="59" t="n">
        <v>0.24</v>
      </c>
      <c r="J6" s="59" t="n">
        <v>2500</v>
      </c>
      <c r="K6" s="59" t="n">
        <v>1</v>
      </c>
      <c r="L6" s="3" t="n">
        <v>1</v>
      </c>
      <c r="M6" s="3" t="n">
        <v>2</v>
      </c>
      <c r="N6" s="3" t="n">
        <v>5</v>
      </c>
      <c r="O6" s="3" t="n">
        <v>0</v>
      </c>
      <c r="P6" s="3" t="n">
        <v>1</v>
      </c>
    </row>
    <row r="7">
      <c r="A7" s="58" t="inlineStr">
        <is>
          <t>A7</t>
        </is>
      </c>
      <c r="B7" s="59" t="n">
        <v>300</v>
      </c>
      <c r="C7" s="59" t="inlineStr">
        <is>
          <t>nan</t>
        </is>
      </c>
      <c r="D7" s="59" t="n">
        <v>46</v>
      </c>
      <c r="E7" s="59" t="n">
        <v>8.119999999999999</v>
      </c>
      <c r="F7" s="59" t="n">
        <v>920</v>
      </c>
      <c r="G7" s="59" t="n">
        <v>41</v>
      </c>
      <c r="H7" s="59" t="n">
        <v>1</v>
      </c>
      <c r="I7" s="59" t="n">
        <v>0.33</v>
      </c>
      <c r="J7" s="59" t="n">
        <v>1500</v>
      </c>
      <c r="K7" s="59" t="n">
        <v>1</v>
      </c>
      <c r="L7" s="3" t="n">
        <v>2</v>
      </c>
      <c r="M7" s="3" t="n">
        <v>2</v>
      </c>
      <c r="N7" s="3" t="n">
        <v>1</v>
      </c>
      <c r="O7" s="3" t="n">
        <v>4</v>
      </c>
      <c r="P7" s="3" t="n">
        <v>1</v>
      </c>
    </row>
    <row r="8">
      <c r="A8" s="58" t="inlineStr">
        <is>
          <t>A5</t>
        </is>
      </c>
      <c r="B8" s="59" t="n">
        <v>200</v>
      </c>
      <c r="C8" s="59" t="inlineStr">
        <is>
          <t>nan</t>
        </is>
      </c>
      <c r="D8" s="59" t="n">
        <v>31</v>
      </c>
      <c r="E8" s="59" t="n">
        <v>6.2</v>
      </c>
      <c r="F8" s="59" t="n">
        <v>800</v>
      </c>
      <c r="G8" s="59" t="n">
        <v>34</v>
      </c>
      <c r="H8" s="59" t="n">
        <v>1</v>
      </c>
      <c r="I8" s="59" t="n">
        <v>0.24</v>
      </c>
      <c r="J8" s="59" t="n">
        <v>500</v>
      </c>
      <c r="K8" s="59" t="n">
        <v>1</v>
      </c>
      <c r="L8" s="3" t="n">
        <v>2</v>
      </c>
      <c r="M8" s="3" t="n">
        <v>2</v>
      </c>
      <c r="N8" s="3" t="n">
        <v>1</v>
      </c>
      <c r="O8" s="3" t="n">
        <v>4</v>
      </c>
      <c r="P8" s="3" t="n">
        <v>1</v>
      </c>
    </row>
    <row r="9">
      <c r="A9" s="58" t="inlineStr">
        <is>
          <t>A8</t>
        </is>
      </c>
      <c r="B9" s="59" t="n">
        <v>300</v>
      </c>
      <c r="C9" s="59" t="n">
        <v>61</v>
      </c>
      <c r="D9" s="59" t="n">
        <v>44</v>
      </c>
      <c r="E9" s="59" t="n">
        <v>7.7</v>
      </c>
      <c r="F9" s="59" t="n">
        <v>910</v>
      </c>
      <c r="G9" s="59" t="n">
        <v>40</v>
      </c>
      <c r="H9" s="59" t="n">
        <v>1</v>
      </c>
      <c r="I9" s="59" t="n">
        <v>0.31</v>
      </c>
      <c r="J9" s="59" t="n">
        <v>2500</v>
      </c>
      <c r="K9" s="59" t="n">
        <v>2</v>
      </c>
      <c r="L9" s="3" t="n">
        <v>1</v>
      </c>
      <c r="M9" s="3" t="n">
        <v>2</v>
      </c>
      <c r="N9" s="3" t="n">
        <v>5</v>
      </c>
      <c r="O9" s="3" t="n">
        <v>0</v>
      </c>
      <c r="P9" s="3" t="n">
        <v>1</v>
      </c>
    </row>
    <row r="10">
      <c r="A10" s="58" t="inlineStr">
        <is>
          <t>A9</t>
        </is>
      </c>
      <c r="B10" s="59" t="n">
        <v>350</v>
      </c>
      <c r="C10" s="59" t="n">
        <v>70</v>
      </c>
      <c r="D10" s="59" t="n">
        <v>53</v>
      </c>
      <c r="E10" s="59" t="n">
        <v>8.109999999999999</v>
      </c>
      <c r="F10" s="59" t="n">
        <v>960</v>
      </c>
      <c r="G10" s="59" t="n">
        <v>40</v>
      </c>
      <c r="H10" s="59" t="n">
        <v>1</v>
      </c>
      <c r="I10" s="59" t="n">
        <v>0.28</v>
      </c>
      <c r="J10" s="59" t="n">
        <v>800</v>
      </c>
      <c r="K10" s="59" t="n">
        <v>1</v>
      </c>
      <c r="L10" s="3" t="n">
        <v>1</v>
      </c>
      <c r="M10" s="3" t="n">
        <v>2</v>
      </c>
      <c r="N10" s="3" t="n">
        <v>5</v>
      </c>
      <c r="O10" s="3" t="n">
        <v>0</v>
      </c>
      <c r="P10" s="3" t="n">
        <v>1</v>
      </c>
    </row>
    <row r="11">
      <c r="A11" s="58" t="inlineStr">
        <is>
          <t>A10</t>
        </is>
      </c>
      <c r="B11" s="59" t="n">
        <v>350</v>
      </c>
      <c r="C11" s="59" t="n">
        <v>55</v>
      </c>
      <c r="D11" s="59" t="n">
        <v>42</v>
      </c>
      <c r="E11" s="59" t="n">
        <v>7</v>
      </c>
      <c r="F11" s="59" t="n">
        <v>800</v>
      </c>
      <c r="G11" s="59" t="n">
        <v>45</v>
      </c>
      <c r="H11" s="59" t="n">
        <v>1</v>
      </c>
      <c r="I11" s="59" t="n">
        <v>0.28</v>
      </c>
      <c r="J11" s="59" t="n">
        <v>500</v>
      </c>
      <c r="K11" s="59" t="n">
        <v>3</v>
      </c>
      <c r="L11" s="3" t="n">
        <v>1</v>
      </c>
      <c r="M11" s="3" t="n">
        <v>1</v>
      </c>
      <c r="N11" s="3" t="n">
        <v>5</v>
      </c>
      <c r="O11" s="3" t="n">
        <v>0</v>
      </c>
      <c r="P11" s="3" t="n">
        <v>1</v>
      </c>
    </row>
  </sheetData>
  <pageMargins left="0.7" right="0.7" top="0.75" bottom="0.75" header="0.3" footer="0.3"/>
  <legacyDrawing r:id="anysvml"/>
</worksheet>
</file>

<file path=xl/worksheets/sheet3.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67" t="inlineStr">
        <is>
          <t>Envergadura</t>
        </is>
      </c>
      <c r="C1" s="67" t="inlineStr">
        <is>
          <t>Cuerda</t>
        </is>
      </c>
      <c r="D1" s="67" t="inlineStr">
        <is>
          <t>Relación de aspecto del ala</t>
        </is>
      </c>
      <c r="E1" s="67" t="inlineStr">
        <is>
          <t>Peso máximo al despegue (MTOW)</t>
        </is>
      </c>
      <c r="F1" s="67" t="inlineStr">
        <is>
          <t>Payload</t>
        </is>
      </c>
      <c r="G1" s="67" t="inlineStr">
        <is>
          <t>Velocidad a la que se realiza el crucero (m/s TAS)</t>
        </is>
      </c>
    </row>
    <row r="2">
      <c r="A2" s="67" t="inlineStr">
        <is>
          <t>AC-01</t>
        </is>
      </c>
      <c r="B2" t="n">
        <v>10</v>
      </c>
      <c r="C2" t="n">
        <v>1.2</v>
      </c>
      <c r="E2" t="n">
        <v>1200</v>
      </c>
      <c r="F2" t="n">
        <v>200</v>
      </c>
      <c r="G2" t="n">
        <v>25</v>
      </c>
    </row>
    <row r="3">
      <c r="A3" s="67" t="inlineStr">
        <is>
          <t>AC-02</t>
        </is>
      </c>
      <c r="C3" t="n">
        <v>1.5</v>
      </c>
      <c r="D3" t="n">
        <v>8</v>
      </c>
      <c r="F3" t="n">
        <v>150</v>
      </c>
      <c r="G3" t="n">
        <v>20</v>
      </c>
    </row>
    <row r="4">
      <c r="A4" s="67" t="inlineStr">
        <is>
          <t>AC-03</t>
        </is>
      </c>
      <c r="B4" t="n">
        <v>12</v>
      </c>
      <c r="E4" t="n">
        <v>1500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1" t="inlineStr">
        <is>
          <t>Modelo aeronave</t>
        </is>
      </c>
      <c r="B1" s="31" t="inlineStr">
        <is>
          <t>MTOW</t>
        </is>
      </c>
      <c r="C1" s="31" t="inlineStr">
        <is>
          <t>Payload</t>
        </is>
      </c>
      <c r="D1" s="6" t="inlineStr">
        <is>
          <t>Potencia HP</t>
        </is>
      </c>
      <c r="E1" s="6" t="inlineStr">
        <is>
          <t>envergadura</t>
        </is>
      </c>
      <c r="F1" s="5" t="inlineStr">
        <is>
          <t>Alcance de la aeronave</t>
        </is>
      </c>
      <c r="G1" s="4" t="inlineStr">
        <is>
          <t>Velocidad a la que se realiza el crucero (KTAS)</t>
        </is>
      </c>
      <c r="H1" s="31" t="inlineStr">
        <is>
          <t>Cantidad de motores</t>
        </is>
      </c>
      <c r="I1" s="32" t="inlineStr">
        <is>
          <t>Ancho del fuselaje</t>
        </is>
      </c>
      <c r="J1" s="37" t="inlineStr">
        <is>
          <t>Rango de comunicación</t>
        </is>
      </c>
      <c r="K1" s="38" t="inlineStr">
        <is>
          <t>Misión</t>
        </is>
      </c>
      <c r="L1" s="39" t="n"/>
      <c r="M1" s="56" t="inlineStr">
        <is>
          <t>Potencia HP</t>
        </is>
      </c>
    </row>
    <row r="2" ht="15.75" customHeight="1" thickBot="1">
      <c r="A2" s="31" t="inlineStr">
        <is>
          <t>A1</t>
        </is>
      </c>
      <c r="B2" s="34" t="n">
        <v>100</v>
      </c>
      <c r="C2" s="34" t="n">
        <v>20</v>
      </c>
      <c r="D2" s="34" t="n">
        <v>18</v>
      </c>
      <c r="E2" s="34" t="n">
        <v>4.52</v>
      </c>
      <c r="F2" s="34" t="n">
        <v>600</v>
      </c>
      <c r="G2" s="34" t="n">
        <v>40</v>
      </c>
      <c r="H2" s="34" t="n">
        <v>1</v>
      </c>
      <c r="I2" s="35" t="n">
        <v>0.25</v>
      </c>
      <c r="J2" s="36" t="n">
        <v>100</v>
      </c>
      <c r="K2" s="34" t="n">
        <v>1</v>
      </c>
      <c r="M2" s="59" t="n">
        <v>18</v>
      </c>
    </row>
    <row r="3" ht="15.75" customHeight="1" thickBot="1">
      <c r="A3" s="31" t="inlineStr">
        <is>
          <t>A2</t>
        </is>
      </c>
      <c r="B3" s="34" t="n">
        <v>150</v>
      </c>
      <c r="C3" s="34" t="n">
        <v>32</v>
      </c>
      <c r="D3" s="34" t="n">
        <v>24</v>
      </c>
      <c r="E3" s="34" t="n">
        <v>5.64</v>
      </c>
      <c r="F3" s="34" t="n">
        <v>700</v>
      </c>
      <c r="G3" s="34" t="n">
        <v>38</v>
      </c>
      <c r="H3" s="34" t="n">
        <v>1</v>
      </c>
      <c r="I3" s="35" t="n">
        <v>0.21</v>
      </c>
      <c r="J3" s="36" t="n">
        <v>20</v>
      </c>
      <c r="K3" s="34" t="n">
        <v>1</v>
      </c>
      <c r="M3" s="59" t="n">
        <v>24</v>
      </c>
    </row>
    <row r="4" ht="15.75" customHeight="1" thickBot="1">
      <c r="A4" s="31" t="inlineStr">
        <is>
          <t>A3</t>
        </is>
      </c>
      <c r="B4" s="34" t="n">
        <v>150</v>
      </c>
      <c r="C4" s="34" t="n">
        <v>32</v>
      </c>
      <c r="D4" s="34" t="inlineStr">
        <is>
          <t>nan</t>
        </is>
      </c>
      <c r="E4" s="34" t="inlineStr">
        <is>
          <t>nan</t>
        </is>
      </c>
      <c r="F4" s="34" t="inlineStr">
        <is>
          <t>nan</t>
        </is>
      </c>
      <c r="G4" s="34" t="inlineStr">
        <is>
          <t>nan</t>
        </is>
      </c>
      <c r="H4" s="34" t="n">
        <v>1</v>
      </c>
      <c r="I4" s="35" t="n">
        <v>0.23</v>
      </c>
      <c r="J4" s="36" t="n">
        <v>20</v>
      </c>
      <c r="K4" s="34" t="n">
        <v>1</v>
      </c>
      <c r="M4" s="59" t="inlineStr">
        <is>
          <t>nan</t>
        </is>
      </c>
    </row>
    <row r="5" ht="15.75" customHeight="1" thickBot="1">
      <c r="A5" s="31" t="inlineStr">
        <is>
          <t>A4</t>
        </is>
      </c>
      <c r="B5" s="34" t="n">
        <v>200</v>
      </c>
      <c r="C5" s="34" t="n">
        <v>40</v>
      </c>
      <c r="D5" s="34" t="n">
        <v>32</v>
      </c>
      <c r="E5" s="34" t="n">
        <v>6.39</v>
      </c>
      <c r="F5" s="34" t="n">
        <v>790</v>
      </c>
      <c r="G5" s="34" t="n">
        <v>34</v>
      </c>
      <c r="H5" s="34" t="n">
        <v>1</v>
      </c>
      <c r="I5" s="35" t="n">
        <v>0.26</v>
      </c>
      <c r="J5" s="36" t="n">
        <v>500</v>
      </c>
      <c r="K5" s="34" t="n">
        <v>1</v>
      </c>
      <c r="M5" s="59" t="n">
        <v>32</v>
      </c>
    </row>
    <row r="6" ht="15.75" customHeight="1" thickBot="1">
      <c r="A6" s="31" t="inlineStr">
        <is>
          <t>A6</t>
        </is>
      </c>
      <c r="B6" s="34" t="n">
        <v>250</v>
      </c>
      <c r="C6" s="34" t="n">
        <v>52</v>
      </c>
      <c r="D6" s="34" t="n">
        <v>39</v>
      </c>
      <c r="E6" s="34" t="n">
        <v>7.36</v>
      </c>
      <c r="F6" s="34" t="n">
        <v>870</v>
      </c>
      <c r="G6" s="34" t="n">
        <v>42</v>
      </c>
      <c r="H6" s="34" t="n">
        <v>1</v>
      </c>
      <c r="I6" s="35" t="n">
        <v>0.24</v>
      </c>
      <c r="J6" s="36" t="n">
        <v>1500</v>
      </c>
      <c r="K6" s="34" t="n">
        <v>1</v>
      </c>
      <c r="M6" s="59" t="n">
        <v>39</v>
      </c>
    </row>
    <row r="7" ht="15.75" customHeight="1" thickBot="1">
      <c r="A7" s="31" t="inlineStr">
        <is>
          <t>A7</t>
        </is>
      </c>
      <c r="B7" s="34" t="n">
        <v>300</v>
      </c>
      <c r="C7" s="34" t="inlineStr">
        <is>
          <t>nan</t>
        </is>
      </c>
      <c r="D7" s="34" t="n">
        <v>46</v>
      </c>
      <c r="E7" s="34" t="n">
        <v>8.119999999999999</v>
      </c>
      <c r="F7" s="34" t="inlineStr">
        <is>
          <t>nan</t>
        </is>
      </c>
      <c r="G7" s="34" t="n">
        <v>41</v>
      </c>
      <c r="H7" s="34" t="n">
        <v>1</v>
      </c>
      <c r="I7" s="35" t="n">
        <v>0.33</v>
      </c>
      <c r="J7" s="36" t="n">
        <v>3000</v>
      </c>
      <c r="K7" s="34" t="n">
        <v>1</v>
      </c>
      <c r="M7" s="59" t="n">
        <v>46</v>
      </c>
    </row>
    <row r="8" ht="15.75" customHeight="1" thickBot="1">
      <c r="A8" s="31" t="inlineStr">
        <is>
          <t>A5</t>
        </is>
      </c>
      <c r="B8" s="34" t="n">
        <v>200</v>
      </c>
      <c r="C8" s="34" t="inlineStr">
        <is>
          <t>nan</t>
        </is>
      </c>
      <c r="D8" s="34" t="n">
        <v>31</v>
      </c>
      <c r="E8" s="34" t="n">
        <v>6.2</v>
      </c>
      <c r="F8" s="34" t="n">
        <v>800</v>
      </c>
      <c r="G8" s="34" t="n">
        <v>34</v>
      </c>
      <c r="H8" s="34" t="n">
        <v>1</v>
      </c>
      <c r="I8" s="35" t="n">
        <v>0.24</v>
      </c>
      <c r="J8" s="36" t="n">
        <v>500</v>
      </c>
      <c r="K8" s="34" t="n">
        <v>1</v>
      </c>
      <c r="M8" s="59" t="n">
        <v>31</v>
      </c>
    </row>
    <row r="9" ht="15.75" customHeight="1" thickBot="1">
      <c r="A9" s="31" t="inlineStr">
        <is>
          <t>A8</t>
        </is>
      </c>
      <c r="B9" s="34" t="n">
        <v>300</v>
      </c>
      <c r="C9" s="34" t="n">
        <v>61</v>
      </c>
      <c r="D9" s="34" t="n">
        <v>44</v>
      </c>
      <c r="E9" s="34" t="n">
        <v>7.7</v>
      </c>
      <c r="F9" s="34" t="n">
        <v>910</v>
      </c>
      <c r="G9" s="34" t="n">
        <v>40</v>
      </c>
      <c r="H9" s="34" t="n">
        <v>1</v>
      </c>
      <c r="I9" s="35" t="n">
        <v>0.31</v>
      </c>
      <c r="J9" s="36" t="n">
        <v>2500</v>
      </c>
      <c r="K9" s="34" t="n">
        <v>2</v>
      </c>
      <c r="M9" s="59" t="n">
        <v>44</v>
      </c>
    </row>
    <row r="10" ht="15.75" customHeight="1" thickBot="1">
      <c r="A10" s="31" t="inlineStr">
        <is>
          <t>A9</t>
        </is>
      </c>
      <c r="B10" s="34" t="n">
        <v>350</v>
      </c>
      <c r="C10" s="34" t="n">
        <v>70</v>
      </c>
      <c r="D10" s="34" t="n">
        <v>53</v>
      </c>
      <c r="E10" s="34" t="n">
        <v>8.109999999999999</v>
      </c>
      <c r="F10" s="34" t="n">
        <v>960</v>
      </c>
      <c r="G10" s="34" t="n">
        <v>40</v>
      </c>
      <c r="H10" s="34" t="n">
        <v>1</v>
      </c>
      <c r="I10" s="35" t="n">
        <v>0.28</v>
      </c>
      <c r="J10" s="36" t="n">
        <v>800</v>
      </c>
      <c r="K10" s="34" t="n">
        <v>1</v>
      </c>
      <c r="M10" s="59" t="n">
        <v>53</v>
      </c>
    </row>
    <row r="11" ht="15.75" customHeight="1" thickBot="1">
      <c r="A11" s="31" t="inlineStr">
        <is>
          <t>A10</t>
        </is>
      </c>
      <c r="B11" s="34" t="n">
        <v>350</v>
      </c>
      <c r="C11" s="34" t="n">
        <v>55</v>
      </c>
      <c r="D11" s="34" t="n">
        <v>42</v>
      </c>
      <c r="E11" s="34" t="n">
        <v>7</v>
      </c>
      <c r="F11" s="34" t="n">
        <v>800</v>
      </c>
      <c r="G11" s="34" t="n">
        <v>45</v>
      </c>
      <c r="H11" s="34" t="n">
        <v>1</v>
      </c>
      <c r="I11" s="45" t="n">
        <v>0.28</v>
      </c>
      <c r="J11" s="36" t="n">
        <v>500</v>
      </c>
      <c r="K11" s="34" t="n">
        <v>3</v>
      </c>
      <c r="M11" s="59" t="n">
        <v>42</v>
      </c>
    </row>
    <row r="12" ht="16.5" customHeight="1" thickBot="1" thickTop="1">
      <c r="A12" s="40" t="inlineStr">
        <is>
          <t>A11</t>
        </is>
      </c>
      <c r="B12" s="41" t="n">
        <v>400</v>
      </c>
      <c r="C12" s="43" t="n">
        <v>82</v>
      </c>
      <c r="D12" s="41" t="n">
        <v>59</v>
      </c>
      <c r="E12" s="42" t="n">
        <v>8.98</v>
      </c>
      <c r="F12" s="42" t="n">
        <v>985</v>
      </c>
      <c r="G12" s="42" t="n">
        <v>41</v>
      </c>
      <c r="H12" s="46" t="n">
        <v>1</v>
      </c>
      <c r="I12" s="47" t="n">
        <v>0.31</v>
      </c>
      <c r="J12" s="42" t="n">
        <v>2100</v>
      </c>
      <c r="K12" s="42" t="n">
        <v>1</v>
      </c>
      <c r="M12" s="41" t="n">
        <v>59</v>
      </c>
    </row>
    <row r="13" ht="15.75" customHeight="1" thickBot="1">
      <c r="A13" s="33" t="inlineStr">
        <is>
          <t>A12</t>
        </is>
      </c>
      <c r="B13" s="44" t="n">
        <v>450</v>
      </c>
      <c r="C13" s="34" t="n">
        <v>90</v>
      </c>
      <c r="D13" s="44" t="n">
        <v>65</v>
      </c>
      <c r="E13" s="34" t="n">
        <v>9.35</v>
      </c>
      <c r="F13" s="34" t="n">
        <v>1000</v>
      </c>
      <c r="G13" s="34" t="n">
        <v>42</v>
      </c>
      <c r="H13" s="35" t="n">
        <v>1</v>
      </c>
      <c r="I13" s="47" t="n">
        <v>0.32</v>
      </c>
      <c r="J13" s="34" t="n">
        <v>1800</v>
      </c>
      <c r="K13" s="34"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4" t="inlineStr">
        <is>
          <t>Altitud (ft)</t>
        </is>
      </c>
      <c r="B1" s="54" t="inlineStr">
        <is>
          <t>Temp. (°C)</t>
        </is>
      </c>
      <c r="C1" s="54" t="inlineStr">
        <is>
          <t>Presión (hPa)</t>
        </is>
      </c>
      <c r="D1" s="54" t="inlineStr">
        <is>
          <t>Presión relativa (δ)</t>
        </is>
      </c>
      <c r="E1" s="54" t="inlineStr">
        <is>
          <t>Densidad relativa (σ)</t>
        </is>
      </c>
      <c r="F1" s="54" t="inlineStr">
        <is>
          <t>Velocidad del sonido (kt)</t>
        </is>
      </c>
    </row>
    <row r="2" ht="15.6" customHeight="1">
      <c r="A2" s="53" t="n">
        <v>0</v>
      </c>
      <c r="B2" s="53" t="n">
        <v>15</v>
      </c>
      <c r="C2" s="53" t="n">
        <v>1013</v>
      </c>
      <c r="D2" s="53" t="n">
        <v>1</v>
      </c>
      <c r="E2" s="53" t="n">
        <v>1</v>
      </c>
      <c r="F2" s="53" t="n">
        <v>661</v>
      </c>
    </row>
    <row r="3">
      <c r="A3" s="52" t="n">
        <v>1000</v>
      </c>
      <c r="B3" s="52" t="n">
        <v>13</v>
      </c>
      <c r="C3" s="52" t="n">
        <v>905</v>
      </c>
      <c r="D3" s="52" t="n">
        <v>0.8929</v>
      </c>
      <c r="E3" s="52" t="n">
        <v>0.9711</v>
      </c>
      <c r="F3" s="52" t="n">
        <v>659</v>
      </c>
    </row>
    <row r="4">
      <c r="A4" s="52" t="n">
        <v>2000</v>
      </c>
      <c r="B4" s="52" t="n">
        <v>11</v>
      </c>
      <c r="C4" s="52" t="n">
        <v>898</v>
      </c>
      <c r="D4" s="52" t="n">
        <v>0.8924</v>
      </c>
      <c r="E4" s="52" t="n">
        <v>0.9428</v>
      </c>
      <c r="F4" s="52" t="n">
        <v>654</v>
      </c>
    </row>
    <row r="5">
      <c r="A5" s="52" t="n">
        <v>3000</v>
      </c>
      <c r="B5" s="52" t="n">
        <v>9.1</v>
      </c>
      <c r="C5" s="52" t="n">
        <v>825</v>
      </c>
      <c r="D5" s="52" t="n">
        <v>0.8856000000000001</v>
      </c>
      <c r="E5" s="52" t="n">
        <v>0.9151</v>
      </c>
      <c r="F5" s="52" t="n">
        <v>651</v>
      </c>
    </row>
    <row r="6">
      <c r="A6" s="52" t="n">
        <v>4000</v>
      </c>
      <c r="B6" s="52" t="n">
        <v>7.1</v>
      </c>
      <c r="C6" s="52" t="n">
        <v>784</v>
      </c>
      <c r="D6" s="52" t="n">
        <v>0.8647</v>
      </c>
      <c r="E6" s="52" t="n">
        <v>0.888</v>
      </c>
      <c r="F6" s="52" t="n">
        <v>648</v>
      </c>
    </row>
    <row r="7">
      <c r="A7" s="52" t="n">
        <v>5000</v>
      </c>
      <c r="B7" s="52" t="n">
        <v>5.1</v>
      </c>
      <c r="C7" s="52" t="n">
        <v>843</v>
      </c>
      <c r="D7" s="52" t="n">
        <v>0.832</v>
      </c>
      <c r="E7" s="52" t="n">
        <v>0.8617</v>
      </c>
      <c r="F7" s="52" t="n">
        <v>652</v>
      </c>
    </row>
    <row r="8">
      <c r="A8" s="52" t="n">
        <v>6000</v>
      </c>
      <c r="B8" s="52" t="n">
        <v>3.1</v>
      </c>
      <c r="C8" s="52" t="n">
        <v>812</v>
      </c>
      <c r="D8" s="52" t="n">
        <v>0.8028</v>
      </c>
      <c r="E8" s="52" t="n">
        <v>0.8359</v>
      </c>
      <c r="F8" s="52" t="n">
        <v>647</v>
      </c>
    </row>
    <row r="9">
      <c r="A9" s="51" t="n">
        <v>7000</v>
      </c>
      <c r="B9" s="51" t="n">
        <v>1.1</v>
      </c>
      <c r="C9" s="51" t="n">
        <v>785</v>
      </c>
      <c r="D9" s="51" t="n">
        <v>0.7835</v>
      </c>
      <c r="E9" s="51" t="n">
        <v>0.8107</v>
      </c>
      <c r="F9" s="51" t="n">
        <v>645</v>
      </c>
    </row>
    <row r="10">
      <c r="A10" s="51" t="n">
        <v>8000</v>
      </c>
      <c r="B10" s="51" t="n">
        <v>-1</v>
      </c>
      <c r="C10" s="51" t="n">
        <v>753</v>
      </c>
      <c r="D10" s="51" t="n">
        <v>0.7528</v>
      </c>
      <c r="E10" s="51" t="n">
        <v>0.7861</v>
      </c>
      <c r="F10" s="51" t="n">
        <v>644</v>
      </c>
    </row>
    <row r="11">
      <c r="A11" s="51" t="n">
        <v>9000</v>
      </c>
      <c r="B11" s="51" t="n">
        <v>-2.8</v>
      </c>
      <c r="C11" s="51" t="n">
        <v>728</v>
      </c>
      <c r="D11" s="51" t="n">
        <v>0.7179</v>
      </c>
      <c r="E11" s="51" t="n">
        <v>0.7621</v>
      </c>
      <c r="F11" s="51" t="n">
        <v>640</v>
      </c>
    </row>
    <row r="12">
      <c r="A12" s="51" t="n">
        <v>10000</v>
      </c>
      <c r="B12" s="51" t="n">
        <v>-4.8</v>
      </c>
      <c r="C12" s="51" t="n">
        <v>697</v>
      </c>
      <c r="D12" s="51" t="n">
        <v>0.6877</v>
      </c>
      <c r="E12" s="51" t="n">
        <v>0.7385</v>
      </c>
      <c r="F12" s="51" t="n">
        <v>638</v>
      </c>
    </row>
    <row r="13">
      <c r="A13" s="51" t="n">
        <v>11000</v>
      </c>
      <c r="B13" s="51" t="n">
        <v>-6.8</v>
      </c>
      <c r="C13" s="51" t="n">
        <v>670</v>
      </c>
      <c r="D13" s="51" t="n">
        <v>0.6614</v>
      </c>
      <c r="E13" s="51" t="n">
        <v>0.7156</v>
      </c>
      <c r="F13" s="51" t="n">
        <v>635</v>
      </c>
    </row>
    <row r="14">
      <c r="A14" s="51" t="n">
        <v>12000</v>
      </c>
      <c r="B14" s="51" t="n">
        <v>-8.800000000000001</v>
      </c>
      <c r="C14" s="51" t="n">
        <v>644</v>
      </c>
      <c r="D14" s="51" t="n">
        <v>0.6375999999999999</v>
      </c>
      <c r="E14" s="51" t="n">
        <v>0.6931</v>
      </c>
      <c r="F14" s="51" t="n">
        <v>631</v>
      </c>
    </row>
    <row r="15">
      <c r="A15" s="50" t="n">
        <v>13000</v>
      </c>
      <c r="B15" s="50" t="n">
        <v>-10.8</v>
      </c>
      <c r="C15" s="50" t="n">
        <v>619</v>
      </c>
      <c r="D15" s="50" t="n">
        <v>0.6146</v>
      </c>
      <c r="E15" s="50" t="n">
        <v>0.6713</v>
      </c>
      <c r="F15" s="50" t="n">
        <v>630</v>
      </c>
    </row>
    <row r="16">
      <c r="A16" s="50" t="n">
        <v>14000</v>
      </c>
      <c r="B16" s="50" t="n">
        <v>-12.8</v>
      </c>
      <c r="C16" s="50" t="n">
        <v>595</v>
      </c>
      <c r="D16" s="50" t="n">
        <v>0.5928</v>
      </c>
      <c r="E16" s="50" t="n">
        <v>0.65</v>
      </c>
      <c r="F16" s="50" t="n">
        <v>626</v>
      </c>
    </row>
    <row r="17">
      <c r="A17" s="50" t="n">
        <v>15000</v>
      </c>
      <c r="B17" s="50" t="n">
        <v>-14.7</v>
      </c>
      <c r="C17" s="50" t="n">
        <v>572</v>
      </c>
      <c r="D17" s="50" t="n">
        <v>0.5719</v>
      </c>
      <c r="E17" s="50" t="n">
        <v>0.6292</v>
      </c>
      <c r="F17" s="50" t="n">
        <v>622</v>
      </c>
    </row>
    <row r="18">
      <c r="A18" s="50" t="n">
        <v>16000</v>
      </c>
      <c r="B18" s="50" t="n">
        <v>-16.7</v>
      </c>
      <c r="C18" s="50" t="n">
        <v>549</v>
      </c>
      <c r="D18" s="50" t="n">
        <v>0.552</v>
      </c>
      <c r="E18" s="50" t="n">
        <v>0.609</v>
      </c>
      <c r="F18" s="50" t="n">
        <v>624</v>
      </c>
    </row>
    <row r="19">
      <c r="A19" s="50" t="n">
        <v>17000</v>
      </c>
      <c r="B19" s="50" t="n">
        <v>-18.6</v>
      </c>
      <c r="C19" s="50" t="n">
        <v>528</v>
      </c>
      <c r="D19" s="50" t="n">
        <v>0.5329</v>
      </c>
      <c r="E19" s="50" t="n">
        <v>0.5891999999999999</v>
      </c>
      <c r="F19" s="50" t="n">
        <v>621</v>
      </c>
    </row>
    <row r="20">
      <c r="A20" s="50" t="n">
        <v>18000</v>
      </c>
      <c r="B20" s="50" t="n">
        <v>-20.7</v>
      </c>
      <c r="C20" s="50" t="n">
        <v>506</v>
      </c>
      <c r="D20" s="50" t="n">
        <v>0.5144</v>
      </c>
      <c r="E20" s="50" t="n">
        <v>0.5699</v>
      </c>
      <c r="F20" s="50" t="n">
        <v>619</v>
      </c>
    </row>
    <row r="21">
      <c r="A21" s="48" t="n">
        <v>20000</v>
      </c>
      <c r="B21" s="48" t="n">
        <v>-24.6</v>
      </c>
      <c r="C21" s="48" t="n">
        <v>466</v>
      </c>
      <c r="D21" s="48" t="n">
        <v>0.4792</v>
      </c>
      <c r="E21" s="48" t="n">
        <v>0.5328000000000001</v>
      </c>
      <c r="F21" s="48" t="n">
        <v>614</v>
      </c>
    </row>
    <row r="22">
      <c r="A22" s="49" t="n">
        <v>21000</v>
      </c>
      <c r="B22" s="49" t="n">
        <v>-26.6</v>
      </c>
      <c r="C22" s="49" t="n">
        <v>446</v>
      </c>
      <c r="D22" s="49" t="n">
        <v>0.4625</v>
      </c>
      <c r="E22" s="49" t="n">
        <v>0.515</v>
      </c>
      <c r="F22" s="49" t="n">
        <v>611</v>
      </c>
    </row>
    <row r="23">
      <c r="A23" s="48" t="n">
        <v>22000</v>
      </c>
      <c r="B23" s="48" t="n">
        <v>-28.6</v>
      </c>
      <c r="C23" s="48" t="n">
        <v>428</v>
      </c>
      <c r="D23" s="48" t="n">
        <v>0.4464</v>
      </c>
      <c r="E23" s="48" t="n">
        <v>0.4976</v>
      </c>
      <c r="F23" s="48" t="n">
        <v>609</v>
      </c>
    </row>
    <row r="24">
      <c r="A24" s="48" t="n">
        <v>23000</v>
      </c>
      <c r="B24" s="48" t="n">
        <v>-30.6</v>
      </c>
      <c r="C24" s="48" t="n">
        <v>410</v>
      </c>
      <c r="D24" s="48" t="n">
        <v>0.431</v>
      </c>
      <c r="E24" s="48" t="n">
        <v>0.4806</v>
      </c>
      <c r="F24" s="48" t="n">
        <v>607</v>
      </c>
    </row>
    <row r="25">
      <c r="A25" s="48" t="n">
        <v>24000</v>
      </c>
      <c r="B25" s="48" t="n">
        <v>-32.6</v>
      </c>
      <c r="C25" s="48" t="n">
        <v>393</v>
      </c>
      <c r="D25" s="48" t="n">
        <v>0.416</v>
      </c>
      <c r="E25" s="48" t="n">
        <v>0.4642</v>
      </c>
      <c r="F25" s="48" t="n">
        <v>605</v>
      </c>
    </row>
    <row r="26">
      <c r="A26" s="48" t="n">
        <v>25000</v>
      </c>
      <c r="B26" s="48" t="n">
        <v>-34.5</v>
      </c>
      <c r="C26" s="48" t="n">
        <v>376</v>
      </c>
      <c r="D26" s="48" t="n">
        <v>0.4016</v>
      </c>
      <c r="E26" s="48" t="n">
        <v>0.4481</v>
      </c>
      <c r="F26" s="48" t="n">
        <v>602</v>
      </c>
    </row>
    <row r="27">
      <c r="A27" s="48" t="n">
        <v>26000</v>
      </c>
      <c r="B27" s="48" t="n">
        <v>-36.5</v>
      </c>
      <c r="C27" s="48" t="n">
        <v>360</v>
      </c>
      <c r="D27" s="48" t="n">
        <v>0.3877</v>
      </c>
      <c r="E27" s="48" t="n">
        <v>0.4325</v>
      </c>
      <c r="F27" s="48" t="n">
        <v>599</v>
      </c>
    </row>
    <row r="28">
      <c r="A28" s="48" t="n">
        <v>27000</v>
      </c>
      <c r="B28" s="48" t="n">
        <v>-38.5</v>
      </c>
      <c r="C28" s="48" t="n">
        <v>344</v>
      </c>
      <c r="D28" s="48" t="n">
        <v>0.3743</v>
      </c>
      <c r="E28" s="48" t="n">
        <v>0.4173</v>
      </c>
      <c r="F28" s="48" t="n">
        <v>597</v>
      </c>
    </row>
    <row r="29">
      <c r="A29" s="48" t="n">
        <v>28000</v>
      </c>
      <c r="B29" s="48" t="n">
        <v>-40.5</v>
      </c>
      <c r="C29" s="48" t="n">
        <v>329</v>
      </c>
      <c r="D29" s="48" t="n">
        <v>0.3613</v>
      </c>
      <c r="E29" s="48" t="n">
        <v>0.4026</v>
      </c>
      <c r="F29" s="48" t="n">
        <v>595</v>
      </c>
    </row>
    <row r="30">
      <c r="A30" s="48" t="n">
        <v>29000</v>
      </c>
      <c r="B30" s="48" t="n">
        <v>-42.5</v>
      </c>
      <c r="C30" s="48" t="n">
        <v>315</v>
      </c>
      <c r="D30" s="48" t="n">
        <v>0.3488</v>
      </c>
      <c r="E30" s="48" t="n">
        <v>0.3883</v>
      </c>
      <c r="F30" s="48" t="n">
        <v>592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2025-12-26T20:11:17Z</dcterms:modified>
  <cp:lastModifiedBy>Ezequiel Delpino</cp:lastModifiedBy>
</cp:coreProperties>
</file>