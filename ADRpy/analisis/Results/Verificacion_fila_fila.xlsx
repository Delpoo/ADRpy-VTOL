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4292" windowWidth="23256" windowHeight="12456" tabRatio="600" firstSheet="0" activeTab="0" autoFilterDateGrouping="1"/>
  </bookViews>
  <sheets>
    <sheet name="data_frame_prueba2" sheetId="1" state="visible" r:id="rId1"/>
    <sheet name="data_frame_prueba" sheetId="2" state="visible" r:id="rId2"/>
    <sheet name="Hoja1" sheetId="3" state="visible" r:id="rId3"/>
    <sheet name="data_frame_prueba1" sheetId="4" state="visible" r:id="rId4"/>
    <sheet name="Tabla de Atmosfera estandar" sheetId="5" state="visible" r:id="rId5"/>
    <sheet name="Verificacion" sheetId="6" state="visible" r:id="rId6"/>
    <sheet name="Resumen" sheetId="7" state="visible" r:id="rId7"/>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family val="2"/>
      <b val="1"/>
      <color theme="1"/>
      <sz val="20"/>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Black Sans Black"/>
      <family val="3"/>
      <color theme="7" tint="-0.249977111117893"/>
      <sz val="11"/>
    </font>
    <font>
      <name val="Black Sans Black"/>
      <family val="3"/>
      <color theme="7" tint="-0.249977111117893"/>
      <sz val="11"/>
      <u val="single"/>
    </font>
    <font>
      <name val="Calibri"/>
      <family val="2"/>
      <b val="1"/>
      <color theme="7" tint="-0.249977111117893"/>
      <sz val="12"/>
      <scheme val="minor"/>
    </font>
    <font>
      <name val="Calibri"/>
      <b val="1"/>
      <sz val="11"/>
    </font>
    <font>
      <name val="Calibri"/>
      <b val="1"/>
      <i val="1"/>
      <color theme="1"/>
      <sz val="14"/>
    </font>
    <font>
      <name val="Calibri"/>
      <color theme="1"/>
      <sz val="14"/>
      <u val="double"/>
    </font>
    <font>
      <name val="Calibri"/>
      <color theme="1"/>
      <sz val="14"/>
      <u val="single"/>
    </font>
    <font>
      <b val="1"/>
    </font>
  </fonts>
  <fills count="21">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FFFFA500"/>
        <bgColor rgb="FFFFA500"/>
      </patternFill>
    </fill>
    <fill>
      <patternFill patternType="solid">
        <fgColor rgb="FF00FF00"/>
        <bgColor rgb="FF00FF00"/>
      </patternFill>
    </fill>
    <fill>
      <patternFill patternType="solid">
        <fgColor rgb="FFFFFF00"/>
        <bgColor rgb="FFFFFF0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
      <left style="thin"/>
      <right style="thin"/>
      <top style="thin"/>
      <bottom style="thin"/>
    </border>
  </borders>
  <cellStyleXfs count="3">
    <xf numFmtId="0" fontId="0" fillId="0" borderId="0"/>
    <xf numFmtId="0" fontId="1" fillId="0" borderId="0"/>
    <xf numFmtId="0" fontId="1" fillId="0" borderId="0"/>
  </cellStyleXfs>
  <cellXfs count="10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5" fillId="2" borderId="1" applyAlignment="1" pivotButton="0" quotePrefix="0" xfId="0">
      <alignment horizontal="right" vertical="center" wrapText="1"/>
    </xf>
    <xf numFmtId="164" fontId="4" fillId="2" borderId="1" applyAlignment="1" pivotButton="0" quotePrefix="0" xfId="0">
      <alignment horizontal="right" vertical="center" wrapText="1"/>
    </xf>
    <xf numFmtId="164" fontId="4" fillId="4" borderId="1" applyAlignment="1" pivotButton="0" quotePrefix="0" xfId="0">
      <alignment horizontal="right" vertical="center" wrapText="1"/>
    </xf>
    <xf numFmtId="164" fontId="4" fillId="5" borderId="1" applyAlignment="1" pivotButton="0" quotePrefix="0" xfId="0">
      <alignment horizontal="right" vertical="center" wrapText="1"/>
    </xf>
    <xf numFmtId="164" fontId="4" fillId="3" borderId="1" applyAlignment="1" pivotButton="0" quotePrefix="0" xfId="0">
      <alignment horizontal="right" vertical="center" wrapText="1"/>
    </xf>
    <xf numFmtId="0" fontId="4" fillId="3" borderId="1" applyAlignment="1" pivotButton="0" quotePrefix="0" xfId="0">
      <alignment horizontal="right" vertical="center" wrapText="1"/>
    </xf>
    <xf numFmtId="0" fontId="4" fillId="0" borderId="0" applyAlignment="1" pivotButton="0" quotePrefix="0" xfId="0">
      <alignment wrapText="1"/>
    </xf>
    <xf numFmtId="0" fontId="2" fillId="2"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3" applyAlignment="1" pivotButton="0" quotePrefix="0" xfId="0">
      <alignment horizontal="center" vertical="center" wrapText="1"/>
    </xf>
    <xf numFmtId="165" fontId="7" fillId="2" borderId="1" applyAlignment="1" pivotButton="0" quotePrefix="0" xfId="0">
      <alignment horizontal="center" vertical="center"/>
    </xf>
    <xf numFmtId="165" fontId="7" fillId="2" borderId="1" applyAlignment="1" pivotButton="0" quotePrefix="1" xfId="0">
      <alignment horizontal="center" vertical="center"/>
    </xf>
    <xf numFmtId="165" fontId="7" fillId="4" borderId="1" applyAlignment="1" pivotButton="0" quotePrefix="0" xfId="0">
      <alignment horizontal="center" vertical="center"/>
    </xf>
    <xf numFmtId="165" fontId="7" fillId="4" borderId="1" applyAlignment="1" pivotButton="0" quotePrefix="1" xfId="0">
      <alignment horizontal="center" vertical="center"/>
    </xf>
    <xf numFmtId="165" fontId="7" fillId="6" borderId="1" applyAlignment="1" pivotButton="0" quotePrefix="0" xfId="0">
      <alignment horizontal="center" vertical="center"/>
    </xf>
    <xf numFmtId="165" fontId="7" fillId="5" borderId="1" applyAlignment="1" pivotButton="0" quotePrefix="0" xfId="0">
      <alignment horizontal="center" vertical="center"/>
    </xf>
    <xf numFmtId="165" fontId="7" fillId="3" borderId="1" applyAlignment="1" pivotButton="0" quotePrefix="0" xfId="0">
      <alignment horizontal="center" vertical="center"/>
    </xf>
    <xf numFmtId="165" fontId="7" fillId="3" borderId="1" applyAlignment="1" pivotButton="0" quotePrefix="1" xfId="0">
      <alignment horizontal="center" vertical="center"/>
    </xf>
    <xf numFmtId="165" fontId="9" fillId="3" borderId="1" applyAlignment="1" pivotButton="0" quotePrefix="0" xfId="0">
      <alignment horizontal="center" vertical="center"/>
    </xf>
    <xf numFmtId="165" fontId="7" fillId="4" borderId="1" applyAlignment="1" pivotButton="0" quotePrefix="0" xfId="0">
      <alignment horizontal="center" vertical="center" wrapText="1"/>
    </xf>
    <xf numFmtId="165" fontId="7" fillId="6" borderId="1" applyAlignment="1" pivotButton="0" quotePrefix="0" xfId="0">
      <alignment horizontal="center" vertical="center" wrapText="1"/>
    </xf>
    <xf numFmtId="165" fontId="7" fillId="5" borderId="1" applyAlignment="1" pivotButton="0" quotePrefix="0" xfId="0">
      <alignment horizontal="center" vertical="center" wrapText="1"/>
    </xf>
    <xf numFmtId="165" fontId="7" fillId="3" borderId="1" applyAlignment="1" pivotButton="0" quotePrefix="0" xfId="0">
      <alignment horizontal="center" vertical="center" wrapText="1"/>
    </xf>
    <xf numFmtId="165" fontId="10" fillId="3" borderId="1" applyAlignment="1" pivotButton="0" quotePrefix="0" xfId="0">
      <alignment horizontal="center" vertical="center"/>
    </xf>
    <xf numFmtId="165" fontId="11" fillId="3" borderId="1" applyAlignment="1" pivotButton="0" quotePrefix="0" xfId="0">
      <alignment horizontal="center" vertical="center"/>
    </xf>
    <xf numFmtId="0" fontId="12" fillId="2" borderId="1" applyAlignment="1" pivotButton="0" quotePrefix="0" xfId="0">
      <alignment horizontal="center" vertical="center" wrapText="1"/>
    </xf>
    <xf numFmtId="0" fontId="3" fillId="0" borderId="0" pivotButton="0" quotePrefix="0" xfId="0"/>
    <xf numFmtId="0" fontId="13" fillId="9" borderId="2" applyAlignment="1" pivotButton="0" quotePrefix="0" xfId="0">
      <alignment horizontal="center" vertical="center" wrapText="1"/>
    </xf>
    <xf numFmtId="0" fontId="13" fillId="9" borderId="8" applyAlignment="1" pivotButton="0" quotePrefix="0" xfId="0">
      <alignment horizontal="center" vertical="center" wrapText="1"/>
    </xf>
    <xf numFmtId="0" fontId="13" fillId="9" borderId="7" applyAlignment="1" pivotButton="0" quotePrefix="0" xfId="0">
      <alignment horizontal="center" vertical="center" wrapText="1"/>
    </xf>
    <xf numFmtId="0" fontId="14" fillId="8" borderId="2" applyAlignment="1" pivotButton="0" quotePrefix="0" xfId="0">
      <alignment horizontal="center" vertical="center" wrapText="1"/>
    </xf>
    <xf numFmtId="0" fontId="14" fillId="8" borderId="8" applyAlignment="1" pivotButton="0" quotePrefix="0" xfId="0">
      <alignment horizontal="center" vertical="center" wrapText="1"/>
    </xf>
    <xf numFmtId="0" fontId="14" fillId="8" borderId="7" applyAlignment="1" pivotButton="0" quotePrefix="0" xfId="0">
      <alignment horizontal="center" vertical="center" wrapText="1"/>
    </xf>
    <xf numFmtId="0" fontId="13" fillId="9" borderId="10" applyAlignment="1" pivotButton="0" quotePrefix="0" xfId="0">
      <alignment horizontal="center" vertical="center" wrapText="1"/>
    </xf>
    <xf numFmtId="0" fontId="13" fillId="9" borderId="9" applyAlignment="1" pivotButton="0" quotePrefix="0" xfId="0">
      <alignment horizontal="center" vertical="center" wrapText="1"/>
    </xf>
    <xf numFmtId="0" fontId="13" fillId="0" borderId="0" applyAlignment="1" pivotButton="0" quotePrefix="0" xfId="0">
      <alignment horizontal="center" vertical="center" wrapText="1"/>
    </xf>
    <xf numFmtId="0" fontId="13" fillId="9" borderId="4" applyAlignment="1" pivotButton="0" quotePrefix="0" xfId="0">
      <alignment horizontal="center" vertical="center" wrapText="1"/>
    </xf>
    <xf numFmtId="0" fontId="14" fillId="10" borderId="5" applyAlignment="1" pivotButton="0" quotePrefix="0" xfId="0">
      <alignment horizontal="center" vertical="center" wrapText="1"/>
    </xf>
    <xf numFmtId="0" fontId="14" fillId="8" borderId="5" applyAlignment="1" pivotButton="0" quotePrefix="0" xfId="0">
      <alignment horizontal="center" vertical="center" wrapText="1"/>
    </xf>
    <xf numFmtId="0" fontId="14" fillId="8" borderId="11" applyAlignment="1" pivotButton="0" quotePrefix="0" xfId="0">
      <alignment horizontal="center" vertical="center" wrapText="1"/>
    </xf>
    <xf numFmtId="0" fontId="14" fillId="10" borderId="2" applyAlignment="1" pivotButton="0" quotePrefix="0" xfId="0">
      <alignment horizontal="center" vertical="center" wrapText="1"/>
    </xf>
    <xf numFmtId="0" fontId="14" fillId="8" borderId="0" applyAlignment="1" pivotButton="0" quotePrefix="0" xfId="0">
      <alignment horizontal="center" vertical="center" wrapText="1"/>
    </xf>
    <xf numFmtId="0" fontId="14" fillId="8" borderId="6" applyAlignment="1" pivotButton="0" quotePrefix="0" xfId="0">
      <alignment horizontal="center" vertical="center" wrapText="1"/>
    </xf>
    <xf numFmtId="0" fontId="14"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4" fillId="11" borderId="1" applyAlignment="1" pivotButton="0" quotePrefix="0" xfId="0">
      <alignment horizontal="center" vertical="center" wrapText="1"/>
    </xf>
    <xf numFmtId="0" fontId="15" fillId="12" borderId="1" applyAlignment="1" pivotButton="0" quotePrefix="0" xfId="0">
      <alignment horizontal="center" vertical="center" wrapText="1"/>
    </xf>
    <xf numFmtId="164" fontId="16" fillId="2" borderId="1" applyAlignment="1" pivotButton="0" quotePrefix="0" xfId="0">
      <alignment horizontal="center" vertical="center" wrapText="1"/>
    </xf>
    <xf numFmtId="164" fontId="17" fillId="13" borderId="1" applyAlignment="1" pivotButton="0" quotePrefix="0" xfId="0">
      <alignment horizontal="center" vertical="center" wrapText="1"/>
    </xf>
    <xf numFmtId="0" fontId="18" fillId="13" borderId="1" applyAlignment="1" pivotButton="0" quotePrefix="0" xfId="0">
      <alignment horizontal="center" vertical="center" wrapText="1"/>
    </xf>
    <xf numFmtId="0" fontId="13" fillId="9" borderId="1" applyAlignment="1" pivotButton="0" quotePrefix="0" xfId="0">
      <alignment horizontal="center" vertical="center" wrapText="1"/>
    </xf>
    <xf numFmtId="0" fontId="14" fillId="8" borderId="1" applyAlignment="1" pivotButton="0" quotePrefix="0" xfId="0">
      <alignment horizontal="center" vertical="center" wrapText="1"/>
    </xf>
    <xf numFmtId="0" fontId="17" fillId="2" borderId="1" applyAlignment="1" pivotButton="0" quotePrefix="0" xfId="0">
      <alignment horizontal="center" vertical="center" wrapText="1"/>
    </xf>
    <xf numFmtId="0" fontId="2" fillId="2" borderId="1" applyAlignment="1" pivotButton="0" quotePrefix="0" xfId="0">
      <alignment horizontal="center" vertical="center"/>
    </xf>
    <xf numFmtId="0" fontId="2" fillId="2" borderId="0" applyAlignment="1" pivotButton="0" quotePrefix="0" xfId="0">
      <alignment horizontal="center" vertical="center"/>
    </xf>
    <xf numFmtId="1" fontId="19" fillId="2" borderId="1" applyAlignment="1" pivotButton="0" quotePrefix="0" xfId="0">
      <alignment horizontal="center" vertical="center" wrapText="1"/>
    </xf>
    <xf numFmtId="1" fontId="20" fillId="2" borderId="1" applyAlignment="1" pivotButton="0" quotePrefix="0" xfId="0">
      <alignment horizontal="center" vertical="center" wrapText="1"/>
    </xf>
    <xf numFmtId="1" fontId="19" fillId="2" borderId="1" applyAlignment="1" pivotButton="0" quotePrefix="0" xfId="0">
      <alignment horizontal="center" vertical="center"/>
    </xf>
    <xf numFmtId="164" fontId="21" fillId="2" borderId="1" applyAlignment="1" pivotButton="0" quotePrefix="0" xfId="0">
      <alignment horizontal="right" vertical="center" wrapText="1"/>
    </xf>
    <xf numFmtId="0" fontId="21" fillId="2" borderId="1" applyAlignment="1" pivotButton="0" quotePrefix="0" xfId="0">
      <alignment horizontal="right" vertical="center" wrapText="1"/>
    </xf>
    <xf numFmtId="0" fontId="21" fillId="2" borderId="1" applyAlignment="1" pivotButton="0" quotePrefix="0" xfId="0">
      <alignment horizontal="center" vertical="center" wrapText="1"/>
    </xf>
    <xf numFmtId="164" fontId="4" fillId="14" borderId="1" applyAlignment="1" pivotButton="0" quotePrefix="0" xfId="0">
      <alignment horizontal="right" vertical="center" wrapText="1"/>
    </xf>
    <xf numFmtId="164" fontId="4" fillId="15" borderId="1" applyAlignment="1" pivotButton="0" quotePrefix="0" xfId="0">
      <alignment horizontal="right" vertical="center" wrapText="1"/>
    </xf>
    <xf numFmtId="164" fontId="4" fillId="16" borderId="1" applyAlignment="1" pivotButton="0" quotePrefix="0" xfId="0">
      <alignment horizontal="right" vertical="center" wrapText="1"/>
    </xf>
    <xf numFmtId="164" fontId="4" fillId="17" borderId="1" applyAlignment="1" pivotButton="0" quotePrefix="0" xfId="0">
      <alignment horizontal="right" vertical="center" wrapText="1"/>
    </xf>
    <xf numFmtId="165" fontId="7" fillId="17" borderId="1" applyAlignment="1" pivotButton="0" quotePrefix="0" xfId="0">
      <alignment horizontal="center" vertical="center"/>
    </xf>
    <xf numFmtId="0" fontId="22" fillId="0" borderId="1" applyAlignment="1" pivotButton="0" quotePrefix="0" xfId="0">
      <alignment horizontal="center" vertical="top"/>
    </xf>
    <xf numFmtId="165" fontId="7" fillId="18" borderId="1" applyAlignment="1" pivotButton="0" quotePrefix="1" xfId="0">
      <alignment horizontal="center" vertical="center"/>
    </xf>
    <xf numFmtId="165" fontId="23" fillId="2" borderId="1" applyAlignment="1" pivotButton="0" quotePrefix="0" xfId="0">
      <alignment horizontal="center" vertical="center"/>
    </xf>
    <xf numFmtId="165" fontId="7" fillId="18" borderId="1" applyAlignment="1" pivotButton="0" quotePrefix="0" xfId="0">
      <alignment horizontal="center" vertical="center"/>
    </xf>
    <xf numFmtId="165" fontId="8" fillId="18" borderId="1" applyAlignment="1" pivotButton="0" quotePrefix="0" xfId="0">
      <alignment horizontal="center" vertical="center"/>
    </xf>
    <xf numFmtId="165" fontId="7" fillId="19" borderId="1" applyAlignment="1" pivotButton="0" quotePrefix="1" xfId="0">
      <alignment horizontal="center" vertical="center"/>
    </xf>
    <xf numFmtId="165" fontId="23" fillId="5" borderId="1" applyAlignment="1" pivotButton="0" quotePrefix="1" xfId="0">
      <alignment horizontal="center" vertical="center"/>
    </xf>
    <xf numFmtId="165" fontId="23" fillId="3" borderId="1" applyAlignment="1" pivotButton="0" quotePrefix="1" xfId="0">
      <alignment horizontal="center" vertical="center"/>
    </xf>
    <xf numFmtId="165" fontId="7" fillId="18" borderId="1" applyAlignment="1" pivotButton="0" quotePrefix="0" xfId="0">
      <alignment horizontal="center" vertical="center" wrapText="1"/>
    </xf>
    <xf numFmtId="165" fontId="7" fillId="19" borderId="1" applyAlignment="1" pivotButton="0" quotePrefix="0" xfId="0">
      <alignment horizontal="center" vertical="center"/>
    </xf>
    <xf numFmtId="165" fontId="23" fillId="3" borderId="1" applyAlignment="1" pivotButton="0" quotePrefix="0" xfId="0">
      <alignment horizontal="center" vertical="center"/>
    </xf>
    <xf numFmtId="165" fontId="7" fillId="19" borderId="1" applyAlignment="1" pivotButton="0" quotePrefix="0" xfId="0">
      <alignment horizontal="center" vertical="center" wrapText="1"/>
    </xf>
    <xf numFmtId="165" fontId="23" fillId="5" borderId="1" applyAlignment="1" pivotButton="0" quotePrefix="0" xfId="0">
      <alignment horizontal="center" vertical="center"/>
    </xf>
    <xf numFmtId="165" fontId="8" fillId="19" borderId="1" applyAlignment="1" pivotButton="0" quotePrefix="0" xfId="0">
      <alignment horizontal="center" vertical="center"/>
    </xf>
    <xf numFmtId="165" fontId="7" fillId="20" borderId="1" applyAlignment="1" pivotButton="0" quotePrefix="1" xfId="0">
      <alignment horizontal="center" vertical="center"/>
    </xf>
    <xf numFmtId="165" fontId="7" fillId="20" borderId="1" applyAlignment="1" pivotButton="0" quotePrefix="0" xfId="0">
      <alignment horizontal="center" vertical="center"/>
    </xf>
    <xf numFmtId="165" fontId="24" fillId="5" borderId="1" applyAlignment="1" pivotButton="0" quotePrefix="0" xfId="0">
      <alignment horizontal="center" vertical="center"/>
    </xf>
    <xf numFmtId="165" fontId="24" fillId="17" borderId="1" applyAlignment="1" pivotButton="0" quotePrefix="0" xfId="0">
      <alignment horizontal="center" vertical="center"/>
    </xf>
    <xf numFmtId="165" fontId="25" fillId="5" borderId="1" applyAlignment="1" pivotButton="0" quotePrefix="0" xfId="0">
      <alignment horizontal="center" vertical="center"/>
    </xf>
    <xf numFmtId="165" fontId="25" fillId="3" borderId="1" applyAlignment="1" pivotButton="0" quotePrefix="0" xfId="0">
      <alignment horizontal="center" vertical="center"/>
    </xf>
    <xf numFmtId="165" fontId="24" fillId="19" borderId="1" applyAlignment="1" pivotButton="0" quotePrefix="0" xfId="0">
      <alignment horizontal="center" vertical="center"/>
    </xf>
    <xf numFmtId="165" fontId="24" fillId="3" borderId="1" applyAlignment="1" pivotButton="0" quotePrefix="0" xfId="0">
      <alignment horizontal="center" vertical="center"/>
    </xf>
    <xf numFmtId="165" fontId="24" fillId="19" borderId="1" applyAlignment="1" pivotButton="0" quotePrefix="0" xfId="0">
      <alignment horizontal="center" vertical="center" wrapText="1"/>
    </xf>
    <xf numFmtId="165" fontId="24" fillId="5" borderId="1" applyAlignment="1" pivotButton="0" quotePrefix="0" xfId="0">
      <alignment horizontal="center" vertical="center" wrapText="1"/>
    </xf>
    <xf numFmtId="165" fontId="24" fillId="3" borderId="1" applyAlignment="1" pivotButton="0" quotePrefix="0" xfId="0">
      <alignment horizontal="center" vertical="center" wrapText="1"/>
    </xf>
    <xf numFmtId="165" fontId="25" fillId="19" borderId="1" applyAlignment="1" pivotButton="0" quotePrefix="0" xfId="0">
      <alignment horizontal="center" vertical="center"/>
    </xf>
    <xf numFmtId="165" fontId="25" fillId="20" borderId="1" applyAlignment="1" pivotButton="0" quotePrefix="0" xfId="0">
      <alignment horizontal="center" vertical="center"/>
    </xf>
    <xf numFmtId="165" fontId="25" fillId="6" borderId="1" applyAlignment="1" pivotButton="0" quotePrefix="0" xfId="0">
      <alignment horizontal="center" vertical="center"/>
    </xf>
    <xf numFmtId="165" fontId="24" fillId="6" borderId="1" applyAlignment="1" pivotButton="0" quotePrefix="0" xfId="0">
      <alignment horizontal="center" vertical="center"/>
    </xf>
    <xf numFmtId="0" fontId="26" fillId="0" borderId="13" applyAlignment="1" pivotButton="0" quotePrefix="0" xfId="0">
      <alignment horizontal="center" vertical="top"/>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Ezequiel Delpino</author>
    <author>System</author>
    <author>Asistente Diseño</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
</t>
      </text>
    </comment>
    <comment ref="B2" authorId="1" shapeId="0">
      <text>
        <t xml:space="preserve">
=== CORRELATION DETAILS ===
Aeronave:   Stalker XE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 authorId="1" shapeId="0">
      <text>
        <t xml:space="preserve">
=== CORRELATION DETAILS ===
Aeronave:   Stalker XE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 authorId="1" shapeId="0">
      <text>
        <t xml:space="preserve">=== CÁLCULO APLICADO ===
formula:   TAS_5000 = IAS / sqrt(σ_5000)
inputs:
    IAS:   15.4
    σ_5000:   0.862
</t>
      </text>
    </comment>
    <comment ref="F2" authorId="1" shapeId="0">
      <text>
        <t xml:space="preserve">
=== CORRELATION DETAILS ===
Aeronave:   Stalker XE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2" authorId="1" shapeId="0">
      <text>
        <t xml:space="preserve">
=== CORRELATION DETAILS ===
Aeronave:   Stalker XE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2" authorId="2" shapeId="0">
      <text>
        <t>[Verificación] R ≈ (h · 3600 · IAS) / 1000
[Fórmula] Δrel = |A − B| / max(|A|, |B|, 1e−12) con A=R, B=(h·3600·V)/1000
[Normalización] Escala el error a porcentaje relativo de la magnitud observada.
[Sustitución] |370 − (8·3600·15.4333)/1000| / max(|370|, |444.48|, 1e−12)
[Resultado] Δrel=0.167566 (16.76%); severidad: no_confiable</t>
      </text>
    </comment>
    <comment ref="N2" authorId="2" shapeId="0">
      <text>
        <t>[Verificación] R ≈ (h · 3600 · IAS) / 1000
[Fórmula] Δrel = |A − B| / max(|A|, |B|, 1e−12) con A=R, B=(h·3600·V)/1000
[Normalización] Escala el error a porcentaje relativo de la magnitud observada.
[Sustitución] |370 − (8·3600·15.4333)/1000| / max(|370|, |444.48|, 1e−12)
[Resultado] Δrel=0.167566 (16.76%); severidad: no_confiable</t>
      </text>
    </comment>
    <comment ref="P2" authorId="1" shapeId="0">
      <text>
        <t xml:space="preserve">
=== CORRELATION DETAILS ===
Aeronave:   Stalker XE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 authorId="1" shapeId="0">
      <text>
        <t xml:space="preserve">
=== CORRELATION DETAILS ===
Aeronave:   Stalker XE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 authorId="1" shapeId="0">
      <text>
        <t xml:space="preserve">
=== CORRELATION DETAILS ===
Aeronave:   Stalker XE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W2" authorId="2" shapeId="0">
      <text>
        <t>[Verificación] R ≈ (h · 3600 · IAS) / 1000
[Fórmula] Δrel = |A − B| / max(|A|, |B|, 1e−12) con A=R, B=(h·3600·V)/1000
[Normalización] Escala el error a porcentaje relativo de la magnitud observada.
[Sustitución] |370 − (8·3600·15.4333)/1000| / max(|370|, |444.48|, 1e−12)
[Resultado] Δrel=0.167566 (16.76%); severidad: no_confiable</t>
      </text>
    </comment>
    <comment ref="X2" authorId="1" shapeId="0">
      <text>
        <t xml:space="preserve">
=== CORRELATION DETAILS ===
Aeronave:   Stalker XE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 authorId="1" shapeId="0">
      <text>
        <t xml:space="preserve">
=== CORRELATION DETAILS ===
Aeronave:   Stalker XE
Parámetro:   Peso frame
Valor imputado:   nan
Confianza:   0
Corr:   0
k:   0
Tipo Modelo:   n/a
Predictores:   
Penalizacion_k:   0
Familia:   sin filtro
Método predictivo:   Correlacion
Advertencia:   ❌ No se permite imputación sin filtro para esta celda.
Iteración imputación:   3
</t>
      </text>
    </comment>
    <comment ref="Z2" authorId="1" shapeId="0">
      <text>
        <t xml:space="preserve">
=== CORRELATION DETAILS ===
Aeronave:   Stalker XE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2" authorId="1" shapeId="0">
      <text>
        <t xml:space="preserve">
=== CORRELATION DETAILS ===
Aeronave:   Stalker XE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 authorId="1" shapeId="0">
      <text>
        <t xml:space="preserve">
=== CORRELATION DETAILS ===
Aeronave:   Stalker XE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 authorId="1" shapeId="0">
      <text>
        <t xml:space="preserve">
=== CORRELATION DETAILS ===
Aeronave:   Stalker XE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 authorId="1" shapeId="0">
      <text>
        <t xml:space="preserve">
=== CORRELATION DETAILS ===
Aeronave:   Stalker XE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 authorId="1" shapeId="0">
      <text>
        <t xml:space="preserve">
=== CORRELATION DETAILS ===
Aeronave:   Stalker XE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 authorId="1" shapeId="0">
      <text>
        <t xml:space="preserve">
=== CORRELATION DETAILS ===
Aeronave:   Stalker XE
Parámetro:   Consumo
Valor imputado:   nan
Confianza:   0
Corr:   0
k:   0
Tipo Modelo:   n/a
Predictores:   
Penalizacion_k:   0
Familia:   sin filtro
Método predictivo:   Correlacion
Advertencia:   ❌ No se permite imputación sin filtro para esta celda.
Iteración imputación:   3
</t>
      </text>
    </comment>
    <comment ref="AI2" authorId="1" shapeId="0">
      <text>
        <t xml:space="preserve">
=== CORRELATION DETAILS ===
Aeronave:   Stalker XE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 authorId="1" shapeId="0">
      <text>
        <t xml:space="preserve">
=== CORRELATION DETAILS ===
Aeronave:   Stalker XE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 authorId="1" shapeId="0">
      <text>
        <t xml:space="preserve">
=== CORRELATION DETAILS ===
Aeronave:   Stalker XE
Parámetro:   Precio
Valor imputado:   nan
Confianza:   0
Corr:   0
k:   0
Tipo Modelo:   n/a
Predictores:   
Penalizacion_k:   0
Familia:   sin filtro
Método predictivo:   Correlacion
Advertencia:   ❌ No se permite imputación sin filtro para esta celda.
Iteración imputación:   3
</t>
      </text>
    </comment>
    <comment ref="AL2" authorId="1" shapeId="0">
      <text>
        <t xml:space="preserve">
=== CORRELATION DETAILS ===
Aeronave:   Stalker XE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 authorId="1" shapeId="0">
      <text>
        <t xml:space="preserve">
=== CORRELATION DETAILS ===
Aeronave:   Stalker VXE30 Fuel Cell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 authorId="1" shapeId="0">
      <text>
        <t xml:space="preserve">
=== CORRELATION DETAILS ===
Aeronave:   Stalker VXE30 Fuel Cell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 authorId="1" shapeId="0">
      <text>
        <t xml:space="preserve">=== CÁLCULO APLICADO ===
formula:   TAS_5000 = IAS / sqrt(σ_5000)
inputs:
    IAS:   16.1
    σ_5000:   0.862
</t>
      </text>
    </comment>
    <comment ref="F3" authorId="1" shapeId="0">
      <text>
        <t xml:space="preserve">
=== CORRELATION DETAILS ===
Aeronave:   Stalker VXE30 Fuel Cell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3" authorId="1" shapeId="0">
      <text>
        <t xml:space="preserve">
=== CORRELATION DETAILS ===
Aeronave:   Stalker VXE30 Fuel Cell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3" authorId="2" shapeId="0">
      <text>
        <t>[Verificación] R ≈ (h · 3600 · IAS) / 1000
[Fórmula] Δrel = |A − B| / max(|A|, |B|, 1e−12) con A=R, B=(h·3600·V)/1000
[Normalización] Escala el error a porcentaje relativo de la magnitud observada.
[Sustitución] |433 − (8·3600·16.0934)/1000| / max(|433|, |463.491|, 1e−12)
[Resultado] Δrel=0.0657846 (6.58%); severidad: ajuste</t>
      </text>
    </comment>
    <comment ref="N3" authorId="2" shapeId="0">
      <text>
        <t>[Verificación] R ≈ (h · 3600 · IAS) / 1000
[Fórmula] Δrel = |A − B| / max(|A|, |B|, 1e−12) con A=R, B=(h·3600·V)/1000
[Normalización] Escala el error a porcentaje relativo de la magnitud observada.
[Sustitución] |433 − (8·3600·16.0934)/1000| / max(|433|, |463.491|, 1e−12)
[Resultado] Δrel=0.0657846 (6.58%); severidad: ajuste</t>
      </text>
    </comment>
    <comment ref="P3" authorId="1" shapeId="0">
      <text>
        <t xml:space="preserve">
=== CORRELATION DETAILS ===
Aeronave:   Stalker VXE30 Fuel Cell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3" authorId="1" shapeId="0">
      <text>
        <t xml:space="preserve">
=== CORRELATION DETAILS ===
Aeronave:   Stalker VXE30 Fuel Cell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 authorId="1" shapeId="0">
      <text>
        <t xml:space="preserve">
=== CORRELATION DETAILS ===
Aeronave:   Stalker VXE30 Fuel Cell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3" authorId="1" shapeId="0">
      <text>
        <t xml:space="preserve">
=== CORRELATION DETAILS ===
Aeronave:   Stalker VXE30 Fuel Cell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3" authorId="2" shapeId="0">
      <text>
        <t>[Verificación] R ≈ (h · 3600 · IAS) / 1000
[Fórmula] Δrel = |A − B| / max(|A|, |B|, 1e−12) con A=R, B=(h·3600·V)/1000
[Normalización] Escala el error a porcentaje relativo de la magnitud observada.
[Sustitución] |433 − (8·3600·16.0934)/1000| / max(|433|, |463.491|, 1e−12)
[Resultado] Δrel=0.0657846 (6.58%); severidad: ajuste</t>
      </text>
    </comment>
    <comment ref="X3" authorId="1" shapeId="0">
      <text>
        <t xml:space="preserve">
=== CORRELATION DETAILS ===
Aeronave:   Stalker VXE30 Fuel Cell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 authorId="1" shapeId="0">
      <text>
        <t xml:space="preserve">
=== CORRELATION DETAILS ===
Aeronave:   Stalker VXE30 Fuel Cell
Parámetro:   Peso frame
Valor imputado:   nan
Confianza:   0
Corr:   0
k:   0
Tipo Modelo:   n/a
Predictores:   
Penalizacion_k:   0
Familia:   sin filtro
Método predictivo:   Correlacion
Advertencia:   ❌ No se permite imputación sin filtro para esta celda.
Iteración imputación:   3
</t>
      </text>
    </comment>
    <comment ref="Z3" authorId="1" shapeId="0">
      <text>
        <t xml:space="preserve">
=== CORRELATION DETAILS ===
Aeronave:   Stalker VXE30 Fuel Cell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3" authorId="1" shapeId="0">
      <text>
        <t xml:space="preserve">
=== CORRELATION DETAILS ===
Aeronave:   Stalker VXE30 Fuel Cell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 authorId="1" shapeId="0">
      <text>
        <t xml:space="preserve">
=== CORRELATION DETAILS ===
Aeronave:   Stalker VXE30 Fuel Cell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3" authorId="1" shapeId="0">
      <text>
        <t xml:space="preserve">
=== CORRELATION DETAILS ===
Aeronave:   Stalker VXE30 Fuel Cell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 authorId="1" shapeId="0">
      <text>
        <t xml:space="preserve">
=== CORRELATION DETAILS ===
Aeronave:   Stalker VXE30 Fuel Cell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 authorId="1" shapeId="0">
      <text>
        <t xml:space="preserve">
=== CORRELATION DETAILS ===
Aeronave:   Stalker VXE30 Fuel Cell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 authorId="1" shapeId="0">
      <text>
        <t xml:space="preserve">
=== CORRELATION DETAILS ===
Aeronave:   Stalker VXE30 Fuel Cell
Parámetro:   Consumo
Valor imputado:   nan
Confianza:   0
Corr:   0
k:   0
Tipo Modelo:   n/a
Predictores:   
Penalizacion_k:   0
Familia:   sin filtro
Método predictivo:   Correlacion
Advertencia:   ❌ No se permite imputación sin filtro para esta celda.
Iteración imputación:   3
</t>
      </text>
    </comment>
    <comment ref="AI3" authorId="1" shapeId="0">
      <text>
        <t xml:space="preserve">
=== CORRELATION DETAILS ===
Aeronave:   Stalker VXE30 Fuel Cell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 authorId="1" shapeId="0">
      <text>
        <t xml:space="preserve">
=== CORRELATION DETAILS ===
Aeronave:   Stalker VXE30 Fuel Cell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 authorId="1" shapeId="0">
      <text>
        <t xml:space="preserve">
=== CORRELATION DETAILS ===
Aeronave:   Stalker VXE30 Fuel Cell
Parámetro:   Precio
Valor imputado:   nan
Confianza:   0
Corr:   0
k:   0
Tipo Modelo:   n/a
Predictores:   
Penalizacion_k:   0
Familia:   sin filtro
Método predictivo:   Correlacion
Advertencia:   ❌ No se permite imputación sin filtro para esta celda.
Iteración imputación:   3
</t>
      </text>
    </comment>
    <comment ref="AL3" authorId="1" shapeId="0">
      <text>
        <t xml:space="preserve">
=== CORRELATION DETAILS ===
Aeronave:   Stalker VXE30 Fuel Cell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 authorId="1" shapeId="0">
      <text>
        <t xml:space="preserve">
=== CORRELATION DETAILS ===
Aeronave:   Stalker VXE30 Battery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 authorId="1" shapeId="0">
      <text>
        <t xml:space="preserve">
=== CORRELATION DETAILS ===
Aeronave:   Stalker VXE30 Battery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 authorId="1" shapeId="0">
      <text>
        <t xml:space="preserve">=== CÁLCULO APLICADO ===
formula:   TAS_5000 = IAS / sqrt(σ_5000)
inputs:
    IAS:   16.1
    σ_5000:   0.862
</t>
      </text>
    </comment>
    <comment ref="F4" authorId="1" shapeId="0">
      <text>
        <t xml:space="preserve">
=== CORRELATION DETAILS ===
Aeronave:   Stalker VXE30 Battery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4" authorId="1" shapeId="0">
      <text>
        <t xml:space="preserve">
=== CORRELATION DETAILS ===
Aeronave:   Stalker VXE30 Battery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4" authorId="2" shapeId="0">
      <text>
        <t>[Verificación] R ≈ (h · 3600 · IAS) / 1000
[Fórmula] Δrel = |A − B| / max(|A|, |B|, 1e−12) con A=R, B=(h·3600·V)/1000
[Normalización] Escala el error a porcentaje relativo de la magnitud observada.
[Sustitución] |222 − (4·3600·16.0934)/1000| / max(|222|, |231.745|, 1e−12)
[Resultado] Δrel=0.0420517 (4.21%); severidad: ajuste</t>
      </text>
    </comment>
    <comment ref="N4" authorId="2" shapeId="0">
      <text>
        <t>[Verificación] R ≈ (h · 3600 · IAS) / 1000
[Fórmula] Δrel = |A − B| / max(|A|, |B|, 1e−12) con A=R, B=(h·3600·V)/1000
[Normalización] Escala el error a porcentaje relativo de la magnitud observada.
[Sustitución] |222 − (4·3600·16.0934)/1000| / max(|222|, |231.745|, 1e−12)
[Resultado] Δrel=0.0420517 (4.21%); severidad: ajuste</t>
      </text>
    </comment>
    <comment ref="P4" authorId="1" shapeId="0">
      <text>
        <t xml:space="preserve">
=== CORRELATION DETAILS ===
Aeronave:   Stalker VXE30 Battery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 authorId="1" shapeId="0">
      <text>
        <t xml:space="preserve">
=== CORRELATION DETAILS ===
Aeronave:   Stalker VXE30 Battery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 authorId="1" shapeId="0">
      <text>
        <t xml:space="preserve">
=== CORRELATION DETAILS ===
Aeronave:   Stalker VXE30 Battery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4" authorId="1" shapeId="0">
      <text>
        <t xml:space="preserve">
=== CORRELATION DETAILS ===
Aeronave:   Stalker VXE30 Battery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4" authorId="2" shapeId="0">
      <text>
        <t>[Verificación] R ≈ (h · 3600 · IAS) / 1000
[Fórmula] Δrel = |A − B| / max(|A|, |B|, 1e−12) con A=R, B=(h·3600·V)/1000
[Normalización] Escala el error a porcentaje relativo de la magnitud observada.
[Sustitución] |222 − (4·3600·16.0934)/1000| / max(|222|, |231.745|, 1e−12)
[Resultado] Δrel=0.0420517 (4.21%); severidad: ajuste</t>
      </text>
    </comment>
    <comment ref="X4" authorId="1" shapeId="0">
      <text>
        <t xml:space="preserve">
=== CORRELATION DETAILS ===
Aeronave:   Stalker VXE30 Battery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 authorId="1" shapeId="0">
      <text>
        <t xml:space="preserve">
=== CORRELATION DETAILS ===
Aeronave:   Stalker VXE30 Battery
Parámetro:   Peso frame
Valor imputado:   nan
Confianza:   0
Corr:   0
k:   0
Tipo Modelo:   n/a
Predictores:   
Penalizacion_k:   0
Familia:   sin filtro
Método predictivo:   Correlacion
Advertencia:   ❌ No se permite imputación sin filtro para esta celda.
Iteración imputación:   3
</t>
      </text>
    </comment>
    <comment ref="Z4" authorId="1" shapeId="0">
      <text>
        <t xml:space="preserve">
=== CORRELATION DETAILS ===
Aeronave:   Stalker VXE30 Battery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4" authorId="1" shapeId="0">
      <text>
        <t xml:space="preserve">
=== CORRELATION DETAILS ===
Aeronave:   Stalker VXE30 Battery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 authorId="1" shapeId="0">
      <text>
        <t xml:space="preserve">
=== CORRELATION DETAILS ===
Aeronave:   Stalker VXE30 Battery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 authorId="1" shapeId="0">
      <text>
        <t xml:space="preserve">
=== CORRELATION DETAILS ===
Aeronave:   Stalker VXE30 Battery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 authorId="1" shapeId="0">
      <text>
        <t xml:space="preserve">
=== CORRELATION DETAILS ===
Aeronave:   Stalker VXE30 Battery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 authorId="1" shapeId="0">
      <text>
        <t xml:space="preserve">
=== CORRELATION DETAILS ===
Aeronave:   Stalker VXE30 Battery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 authorId="1" shapeId="0">
      <text>
        <t xml:space="preserve">
=== CORRELATION DETAILS ===
Aeronave:   Stalker VXE30 Battery
Parámetro:   Consumo
Valor imputado:   nan
Confianza:   0
Corr:   0
k:   0
Tipo Modelo:   n/a
Predictores:   
Penalizacion_k:   0
Familia:   sin filtro
Método predictivo:   Correlacion
Advertencia:   ❌ No se permite imputación sin filtro para esta celda.
Iteración imputación:   3
</t>
      </text>
    </comment>
    <comment ref="AI4" authorId="1" shapeId="0">
      <text>
        <t xml:space="preserve">
=== CORRELATION DETAILS ===
Aeronave:   Stalker VXE30 Battery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 authorId="1" shapeId="0">
      <text>
        <t xml:space="preserve">
=== CORRELATION DETAILS ===
Aeronave:   Stalker VXE30 Battery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 authorId="1" shapeId="0">
      <text>
        <t xml:space="preserve">
=== CORRELATION DETAILS ===
Aeronave:   Stalker VXE30 Battery
Parámetro:   Precio
Valor imputado:   nan
Confianza:   0
Corr:   0
k:   0
Tipo Modelo:   n/a
Predictores:   
Penalizacion_k:   0
Familia:   sin filtro
Método predictivo:   Correlacion
Advertencia:   ❌ No se permite imputación sin filtro para esta celda.
Iteración imputación:   3
</t>
      </text>
    </comment>
    <comment ref="AL4" authorId="1" shapeId="0">
      <text>
        <t xml:space="preserve">
=== CORRELATION DETAILS ===
Aeronave:   Stalker VXE30 Battery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 authorId="1" shapeId="0">
      <text>
        <t xml:space="preserve">
=== CORRELATION DETAILS ===
Aeronave:   Edge Autonomy Penguin C Mk 2.5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 authorId="1" shapeId="0">
      <text>
        <t xml:space="preserve">
=== CORRELATION DETAILS ===
Aeronave:   Edge Autonomy Penguin C Mk 2.5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 authorId="1" shapeId="0">
      <text>
        <t xml:space="preserve">=== CÁLCULO APLICADO ===
formula:   TAS_5000 = IAS / sqrt(σ_5000)
inputs:
    IAS:   15.4
    σ_5000:   0.862
</t>
      </text>
    </comment>
    <comment ref="E5" authorId="1" shapeId="0">
      <text>
        <t xml:space="preserve">
=== CORRELATION DETAILS ===
Aeronave:   Edge Autonomy Penguin C Mk 2.5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 authorId="1" shapeId="0">
      <text>
        <t xml:space="preserve">
=== CORRELATION DETAILS ===
Aeronave:   Edge Autonomy Penguin C Mk 2.5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 authorId="1" shapeId="0">
      <text>
        <t xml:space="preserve">=== IMPUTED VALUE ===
Aeronave:   Edge Autonomy Penguin C Mk 2.5 VTOL
Parámetro:   Área del ala
Valor imputado:   1.55
Confianza:   0.257
Método predictivo:   Correlacion
Iteración imputación:   1
variable_independiente_1:   41
=== CORRELATION DETAILS ===
Aeronave:   Edge Autonomy Penguin C Mk 2.5 VTOL
Parámetro:   Área del ala
Valor imputado:   1.55
Confianza:   0.257
Tipo Modelo:   poly-1
Predictores:   Peso máximo al despegue (MTOW)
Coeficientes: [0.0573, -0.000605]
Peso de predictores: [1]
Aeronaves entrenamiento: [Stalker XE, Stalker VXE30 Fuel Cell, Stalker VXE30 Battery, Aerosonde Mk. 4.7 Fixed Wing, Aerosonde Mk. 4.8 Fixed wing]
k:   5
Penalizacion_k:   0.272
Corr:   0.946
MAPE:   1.52
R2:   0.993
Confianza_LOOCV:   0.232
k_LOOCV:   5
Corr_LOOCV:   0.853
MAPE_LOOCV:   3.9
R2_LOOCV:   0.966
Método predictivo:   Correlacion
Advertencia:   🟢 Modelo robusto
Familia:   F2
Iteración imputación:   1
variable_independiente_1:   41
</t>
      </text>
    </comment>
    <comment ref="H5" authorId="1" shapeId="0">
      <text>
        <t xml:space="preserve">=== IMPUTED VALUE ===
Aeronave:   Edge Autonomy Penguin C Mk 2.5 VTOL
Parámetro:   Relación de aspecto del ala
Valor imputado:   15.2
Confianza:   0.271
Método predictivo:   Correlacion
Iteración imputación:   1
variable_independiente_1:   665
=== CORRELATION DETAILS ===
Aeronave:   Edge Autonomy Penguin C Mk 2.5 VTOL
Parámetro:   Relación de aspecto del ala
Valor imputado:   15.2
Confianza:   0.271
Tipo Modelo:   poly-1
Predictores:   Alcance de la aeronave
Coeficientes: [0.000801, -0.000]
Peso de predictores: [1]
Aeronaves entrenamiento: [Stalker XE, Stalker VXE30 Fuel Cell, Stalker VXE30 Battery, Aerosonde Mk. 4.7 Fixed Wing, Aerosonde Mk. 4.8 Fixed wing]
k:   5
Penalizacion_k:   0.272
Corr:   0.998
MAPE:   0.0614
R2:   1
Confianza_LOOCV:   0.269
k_LOOCV:   5
Corr_LOOCV:   0.989
MAPE_LOOCV:   0.299
R2_LOOCV:   0.998
Método predictivo:   Correlacion
Advertencia:   🟢 Modelo robusto
Familia:   F2
Iteración imputación:   1
variable_independiente_1:   665
</t>
      </text>
    </comment>
    <comment ref="I5" authorId="1" shapeId="0">
      <text>
        <t xml:space="preserve">
=== CORRELATION DETAILS ===
Aeronave:   Edge Autonomy Penguin C Mk 2.5 VTOL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 authorId="1" shapeId="0">
      <text>
        <t xml:space="preserve">
=== CORRELATION DETAILS ===
Aeronave:   Edge Autonomy Penguin C Mk 2.5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 authorId="1" shapeId="0">
      <text>
        <t xml:space="preserve">=== IMPUTED VALUE ===
Aeronave:   Edge Autonomy Penguin C Mk 2.5 VTOL
Parámetro:   Ancho del fuselaje
Valor imputado:   0.218
Confianza:   0.256
Método predictivo:   Correlacion
Iteración imputación:   1
variable_independiente_1:   665
=== CORRELATION DETAILS ===
Aeronave:   Edge Autonomy Penguin C Mk 2.5 VTOL
Parámetro:   Ancho del fuselaje
Valor imputado:   0.218
Confianza:   0.256
Tipo Modelo:   exp-1
Predictores:   Alcance de la aeronave
Coeficientes: [0.000212]
Peso de predictores: [1]
Aeronaves entrenamiento: [Stalker XE, Stalker VXE30 Fuel Cell, Stalker VXE30 Battery, Aerosonde Mk. 4.7 Fixed Wing, Aerosonde Mk. 4.8 Fixed wing]
k:   5
Penalizacion_k:   0.272
Corr:   0.942
MAPE:   1.53
R2:   0.985
Confianza_LOOCV:   0.245
k_LOOCV:   5
Corr_LOOCV:   0.901
MAPE_LOOCV:   2.44
R2_LOOCV:   0.965
Método predictivo:   Correlacion
Advertencia:   🟢 Modelo robusto
Familia:   F2
Iteración imputación:   1
variable_independiente_1:   665
</t>
      </text>
    </comment>
    <comment ref="M5" authorId="1" shapeId="0">
      <text>
        <t xml:space="preserve">=== CÁLCULO APLICADO ===
formula:   R[km] = h*3600*V/1000
inputs:
    Autonomía[h]:   12
    Velocidad[m/s]:   15.4
</t>
      </text>
    </comment>
    <comment ref="P5" authorId="1" shapeId="0">
      <text>
        <t xml:space="preserve">
=== CORRELATION DETAILS ===
Aeronave:   Edge Autonomy Penguin C Mk 2.5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 authorId="1" shapeId="0">
      <text>
        <t xml:space="preserve">
=== CORRELATION DETAILS ===
Aeronave:   Edge Autonomy Penguin C Mk 2.5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 authorId="1" shapeId="0">
      <text>
        <t xml:space="preserve">
=== CORRELATION DETAILS ===
Aeronave:   Edge Autonomy Penguin C Mk 2.5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 authorId="1" shapeId="0">
      <text>
        <t xml:space="preserve">
=== CORRELATION DETAILS ===
Aeronave:   Edge Autonomy Penguin C Mk 2.5 VTOL
Parámetro:   Cuerda
Valor imputado:   nan
Confianza:   0
Corr:   0
k:   0
Tipo Modelo:   n/a
Predictores:   
Penalizacion_k:   0
Familia:   sin filtro
Método predictivo:   Correlacion
Advertencia:   ❌ No se permite imputación sin filtro para esta celda.
Iteración imputación:   3
</t>
      </text>
    </comment>
    <comment ref="U5" authorId="1" shapeId="0">
      <text>
        <t xml:space="preserve">
=== CORRELATION DETAILS ===
Aeronave:   Edge Autonomy Penguin C Mk 2.5 VTOL
Parámetro:   Payload
Valor imputado:   nan
Confianza:   0
Corr:   0
k:   0
Tipo Modelo:   n/a
Predictores:   
Penalizacion_k:   0
Familia:   sin filtro
Método predictivo:   Correlacion
Advertencia:   ❌ No se permite imputación sin filtro para esta celda.
Iteración imputación:   3
</t>
      </text>
    </comment>
    <comment ref="V5" authorId="1" shapeId="0">
      <text>
        <t xml:space="preserve">
=== CORRELATION DETAILS ===
Aeronave:   Edge Autonomy Penguin C Mk 2.5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 authorId="1" shapeId="0">
      <text>
        <t xml:space="preserve">
=== CORRELATION DETAILS ===
Aeronave:   Edge Autonomy Penguin C Mk 2.5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 authorId="1" shapeId="0">
      <text>
        <t xml:space="preserve">
=== CORRELATION DETAILS ===
Aeronave:   Edge Autonomy Penguin C Mk 2.5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5" authorId="1" shapeId="0">
      <text>
        <t xml:space="preserve">
=== CORRELATION DETAILS ===
Aeronave:   Edge Autonomy Penguin C Mk 2.5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 authorId="1" shapeId="0">
      <text>
        <t xml:space="preserve">
=== CORRELATION DETAILS ===
Aeronave:   Edge Autonomy Penguin C Mk 2.5 VTOL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 authorId="1" shapeId="0">
      <text>
        <t xml:space="preserve">
=== CORRELATION DETAILS ===
Aeronave:   Edge Autonomy Penguin C Mk 2.5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 authorId="1" shapeId="0">
      <text>
        <t xml:space="preserve">
=== CORRELATION DETAILS ===
Aeronave:   Edge Autonomy Penguin C Mk 2.5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 authorId="1" shapeId="0">
      <text>
        <t xml:space="preserve">
=== CORRELATION DETAILS ===
Aeronave:   Edge Autonomy Penguin C Mk 2.5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 authorId="1" shapeId="0">
      <text>
        <t xml:space="preserve">
=== CORRELATION DETAILS ===
Aeronave:   Edge Autonomy Penguin C Mk 2.5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 authorId="1" shapeId="0">
      <text>
        <t xml:space="preserve">
=== CORRELATION DETAILS ===
Aeronave:   Edge Autonomy Penguin C Mk 2.5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 authorId="1" shapeId="0">
      <text>
        <t xml:space="preserve">
=== CORRELATION DETAILS ===
Aeronave:   Edge Autonomy Penguin C Mk 2.5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5" authorId="1" shapeId="0">
      <text>
        <t xml:space="preserve">
=== CORRELATION DETAILS ===
Aeronave:   Edge Autonomy Penguin C Mk 2.5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 authorId="1" shapeId="0">
      <text>
        <t xml:space="preserve">
=== CORRELATION DETAILS ===
Aeronave:   Edge Autonomy Penguin C Mk 2.5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 authorId="1" shapeId="0">
      <text>
        <t xml:space="preserve">
=== CORRELATION DETAILS ===
Aeronave:   Edge Autonomy Penguin C Mk 2.5 VTOL
Parámetro:   Precio
Valor imputado:   nan
Confianza:   0
Corr:   0
k:   0
Tipo Modelo:   n/a
Predictores:   
Penalizacion_k:   0
Familia:   sin filtro
Método predictivo:   Correlacion
Advertencia:   ❌ No se permite imputación sin filtro para esta celda.
Iteración imputación:   3
</t>
      </text>
    </comment>
    <comment ref="AL5" authorId="1" shapeId="0">
      <text>
        <t xml:space="preserve">
=== CORRELATION DETAILS ===
Aeronave:   Edge Autonomy Penguin C Mk 2.5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 authorId="1" shapeId="0">
      <text>
        <t xml:space="preserve">
=== CORRELATION DETAILS ===
Aeronave:   Aerosonde Mk. 4.7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 authorId="1" shapeId="0">
      <text>
        <t xml:space="preserve">
=== CORRELATION DETAILS ===
Aeronave:   Aerosonde Mk. 4.7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 authorId="1" shapeId="0">
      <text>
        <t xml:space="preserve">=== CÁLCULO APLICADO ===
formula:   TAS_5000 = IAS / sqrt(σ_5000)
inputs:
    IAS:   25
    σ_5000:   0.862
</t>
      </text>
    </comment>
    <comment ref="F6" authorId="1" shapeId="0">
      <text>
        <t xml:space="preserve">
=== CORRELATION DETAILS ===
Aeronave:   Aerosonde Mk. 4.7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6" authorId="1" shapeId="0">
      <text>
        <t xml:space="preserve">
=== CORRELATION DETAILS ===
Aeronave:   Aerosonde Mk. 4.7 Fixed Wing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6" authorId="1" shapeId="0">
      <text>
        <t xml:space="preserve">=== CÁLCULO APLICADO ===
formula:   R[km] = h*3600*V/1000
inputs:
    Autonomía[h]:   19.8
    Velocidad[m/s]:   25
</t>
      </text>
    </comment>
    <comment ref="P6" authorId="1" shapeId="0">
      <text>
        <t xml:space="preserve">
=== CORRELATION DETAILS ===
Aeronave:   Aerosonde Mk. 4.7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 authorId="1" shapeId="0">
      <text>
        <t xml:space="preserve">
=== CORRELATION DETAILS ===
Aeronave:   Aerosonde Mk. 4.7 Fixed Wing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 authorId="1" shapeId="0">
      <text>
        <t xml:space="preserve">
=== CORRELATION DETAILS ===
Aeronave:   Aerosonde Mk. 4.7 Fixed Wing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6" authorId="1" shapeId="0">
      <text>
        <t xml:space="preserve">
=== CORRELATION DETAILS ===
Aeronave:   Aerosonde Mk. 4.7 Fixed Wing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 authorId="1" shapeId="0">
      <text>
        <t xml:space="preserve">
=== CORRELATION DETAILS ===
Aeronave:   Aerosonde Mk. 4.7 Fixed Wing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 authorId="1" shapeId="0">
      <text>
        <t xml:space="preserve">
=== CORRELATION DETAILS ===
Aeronave:   Aerosonde Mk. 4.7 Fixed Wing
Parámetro:   Peso frame
Valor imputado:   nan
Confianza:   0
Corr:   0
k:   0
Tipo Modelo:   n/a
Predictores:   
Penalizacion_k:   0
Familia:   sin filtro
Método predictivo:   Correlacion
Advertencia:   ❌ No se permite imputación sin filtro para esta celda.
Iteración imputación:   3
</t>
      </text>
    </comment>
    <comment ref="Z6" authorId="1" shapeId="0">
      <text>
        <t xml:space="preserve">
=== CORRELATION DETAILS ===
Aeronave:   Aerosonde Mk. 4.7 Fixed Wing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 authorId="1" shapeId="0">
      <text>
        <t xml:space="preserve">
=== CORRELATION DETAILS ===
Aeronave:   Aerosonde Mk. 4.7 Fixed Wing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 authorId="1" shapeId="0">
      <text>
        <t xml:space="preserve">
=== CORRELATION DETAILS ===
Aeronave:   Aerosonde Mk. 4.7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6" authorId="1" shapeId="0">
      <text>
        <t xml:space="preserve">
=== CORRELATION DETAILS ===
Aeronave:   Aerosonde Mk. 4.7 Fixed Wing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 authorId="1" shapeId="0">
      <text>
        <t xml:space="preserve">
=== CORRELATION DETAILS ===
Aeronave:   Aerosonde Mk. 4.7 Fixed Wing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 authorId="1" shapeId="0">
      <text>
        <t xml:space="preserve">
=== CORRELATION DETAILS ===
Aeronave:   Aerosonde Mk. 4.7 Fixed Wing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 authorId="0" shapeId="0">
      <text>
        <t>Ezequiel Delpino:
a 4250, dato sacado de motor, no se tiene en cuenta la aeronave</t>
      </text>
    </comment>
    <comment ref="AK6" authorId="1" shapeId="0">
      <text>
        <t xml:space="preserve">
=== CORRELATION DETAILS ===
Aeronave:   Aerosonde Mk. 4.7 Fixed Wing
Parámetro:   Precio
Valor imputado:   nan
Confianza:   0
Corr:   0
k:   0
Tipo Modelo:   n/a
Predictores:   
Penalizacion_k:   0
Familia:   sin filtro
Método predictivo:   Correlacion
Advertencia:   ❌ No se permite imputación sin filtro para esta celda.
Iteración imputación:   3
</t>
      </text>
    </comment>
    <comment ref="AL6" authorId="1" shapeId="0">
      <text>
        <t xml:space="preserve">
=== CORRELATION DETAILS ===
Aeronave:   Aerosonde Mk. 4.7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 authorId="1" shapeId="0">
      <text>
        <t xml:space="preserve">
=== CORRELATION DETAILS ===
Aeronave:   Aerosonde Mk. 4.7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 authorId="1" shapeId="0">
      <text>
        <t xml:space="preserve">
=== CORRELATION DETAILS ===
Aeronave:   Aerosonde Mk. 4.7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 authorId="1" shapeId="0">
      <text>
        <t xml:space="preserve">=== CÁLCULO APLICADO ===
formula:   TAS_5000 = IAS / sqrt(σ_5000)
inputs:
    IAS:   25
    σ_5000:   0.862
</t>
      </text>
    </comment>
    <comment ref="F7" authorId="1" shapeId="0">
      <text>
        <t xml:space="preserve">
=== CORRELATION DETAILS ===
Aeronave:   Aerosonde Mk. 4.7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7" authorId="1" shapeId="0">
      <text>
        <t xml:space="preserve">
=== CORRELATION DETAILS ===
Aeronave:   Aerosonde Mk. 4.7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7" authorId="1" shapeId="0">
      <text>
        <t xml:space="preserve">=== CÁLCULO APLICADO ===
formula:   R[km] = h*3600*V/1000
inputs:
    Autonomía[h]:   12
    Velocidad[m/s]:   25
</t>
      </text>
    </comment>
    <comment ref="P7" authorId="1" shapeId="0">
      <text>
        <t xml:space="preserve">
=== CORRELATION DETAILS ===
Aeronave:   Aerosonde Mk. 4.7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 authorId="1" shapeId="0">
      <text>
        <t xml:space="preserve">
=== CORRELATION DETAILS ===
Aeronave:   Aerosonde Mk. 4.7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 authorId="1" shapeId="0">
      <text>
        <t xml:space="preserve">
=== CORRELATION DETAILS ===
Aeronave:   Aerosonde Mk. 4.7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7" authorId="1" shapeId="0">
      <text>
        <t xml:space="preserve">
=== CORRELATION DETAILS ===
Aeronave:   Aerosonde Mk. 4.7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 authorId="1" shapeId="0">
      <text>
        <t xml:space="preserve">
=== CORRELATION DETAILS ===
Aeronave:   Aerosonde Mk. 4.7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 authorId="1" shapeId="0">
      <text>
        <t xml:space="preserve">
=== CORRELATION DETAILS ===
Aeronave:   Aerosonde Mk. 4.7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7" authorId="1" shapeId="0">
      <text>
        <t xml:space="preserve">
=== CORRELATION DETAILS ===
Aeronave:   Aerosonde Mk. 4.7 VTOL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B7" authorId="1" shapeId="0">
      <text>
        <t xml:space="preserve">
=== CORRELATION DETAILS ===
Aeronave:   Aerosonde Mk. 4.7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 authorId="1" shapeId="0">
      <text>
        <t xml:space="preserve">
=== CORRELATION DETAILS ===
Aeronave:   Aerosonde Mk. 4.7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 authorId="1" shapeId="0">
      <text>
        <t xml:space="preserve">
=== CORRELATION DETAILS ===
Aeronave:   Aerosonde Mk. 4.7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 authorId="1" shapeId="0">
      <text>
        <t xml:space="preserve">
=== CORRELATION DETAILS ===
Aeronave:   Aerosonde Mk. 4.7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 authorId="1" shapeId="0">
      <text>
        <t xml:space="preserve">
=== CORRELATION DETAILS ===
Aeronave:   Aerosonde Mk. 4.7 VTOL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K7" authorId="1" shapeId="0">
      <text>
        <t xml:space="preserve">
=== CORRELATION DETAILS ===
Aeronave:   Aerosonde Mk. 4.7 VTOL
Parámetro:   Precio
Valor imputado:   nan
Confianza:   0
Corr:   0
k:   0
Tipo Modelo:   n/a
Predictores:   
Penalizacion_k:   0
Familia:   sin filtro
Método predictivo:   Correlacion
Advertencia:   ❌ No se permite imputación sin filtro para esta celda.
Iteración imputación:   3
</t>
      </text>
    </comment>
    <comment ref="AL7" authorId="1" shapeId="0">
      <text>
        <t xml:space="preserve">
=== CORRELATION DETAILS ===
Aeronave:   Aerosonde Mk. 4.7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 authorId="1" shapeId="0">
      <text>
        <t xml:space="preserve">
=== CORRELATION DETAILS ===
Aeronave:   Aerosonde Mk. 4.8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 authorId="1" shapeId="0">
      <text>
        <t xml:space="preserve">
=== CORRELATION DETAILS ===
Aeronave:   Aerosonde Mk. 4.8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 authorId="1" shapeId="0">
      <text>
        <t xml:space="preserve">=== CÁLCULO APLICADO ===
formula:   TAS_5000 = IAS / sqrt(σ_5000)
inputs:
    IAS:   25
    σ_5000:   0.862
</t>
      </text>
    </comment>
    <comment ref="F8" authorId="1" shapeId="0">
      <text>
        <t xml:space="preserve">
=== CORRELATION DETAILS ===
Aeronave:   Aerosonde Mk. 4.8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8" authorId="1" shapeId="0">
      <text>
        <t xml:space="preserve">
=== CORRELATION DETAILS ===
Aeronave:   Aerosonde Mk. 4.8 Fixed wing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8" authorId="1" shapeId="0">
      <text>
        <t xml:space="preserve">=== CÁLCULO APLICADO ===
formula:   R[km] = h*3600*V/1000
inputs:
    Autonomía[h]:   19.8
    Velocidad[m/s]:   25
</t>
      </text>
    </comment>
    <comment ref="P8" authorId="1" shapeId="0">
      <text>
        <t xml:space="preserve">
=== CORRELATION DETAILS ===
Aeronave:   Aerosonde Mk. 4.8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 authorId="1" shapeId="0">
      <text>
        <t xml:space="preserve">
=== CORRELATION DETAILS ===
Aeronave:   Aerosonde Mk. 4.8 Fixed wing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 authorId="1" shapeId="0">
      <text>
        <t xml:space="preserve">
=== CORRELATION DETAILS ===
Aeronave:   Aerosonde Mk. 4.8 Fixed wing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8" authorId="1" shapeId="0">
      <text>
        <t xml:space="preserve">
=== CORRELATION DETAILS ===
Aeronave:   Aerosonde Mk. 4.8 Fixed wing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 authorId="1" shapeId="0">
      <text>
        <t xml:space="preserve">
=== CORRELATION DETAILS ===
Aeronave:   Aerosonde Mk. 4.8 Fixed wing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 authorId="1" shapeId="0">
      <text>
        <t xml:space="preserve">
=== CORRELATION DETAILS ===
Aeronave:   Aerosonde Mk. 4.8 Fixed wing
Parámetro:   Peso frame
Valor imputado:   nan
Confianza:   0
Corr:   0
k:   0
Tipo Modelo:   n/a
Predictores:   
Penalizacion_k:   0
Familia:   sin filtro
Método predictivo:   Correlacion
Advertencia:   ❌ No se permite imputación sin filtro para esta celda.
Iteración imputación:   3
</t>
      </text>
    </comment>
    <comment ref="Z8" authorId="1" shapeId="0">
      <text>
        <t xml:space="preserve">
=== CORRELATION DETAILS ===
Aeronave:   Aerosonde Mk. 4.8 Fixed wing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8" authorId="1" shapeId="0">
      <text>
        <t xml:space="preserve">
=== CORRELATION DETAILS ===
Aeronave:   Aerosonde Mk. 4.8 Fixed wing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 authorId="1" shapeId="0">
      <text>
        <t xml:space="preserve">
=== CORRELATION DETAILS ===
Aeronave:   Aerosonde Mk. 4.8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 authorId="1" shapeId="0">
      <text>
        <t xml:space="preserve">
=== CORRELATION DETAILS ===
Aeronave:   Aerosonde Mk. 4.8 Fixed wing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 authorId="1" shapeId="0">
      <text>
        <t xml:space="preserve">
=== CORRELATION DETAILS ===
Aeronave:   Aerosonde Mk. 4.8 Fixed wing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 authorId="1" shapeId="0">
      <text>
        <t xml:space="preserve">
=== CORRELATION DETAILS ===
Aeronave:   Aerosonde Mk. 4.8 Fixed wing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 authorId="1" shapeId="0">
      <text>
        <t xml:space="preserve">
=== CORRELATION DETAILS ===
Aeronave:   Aerosonde Mk. 4.8 Fixed wing
Parámetro:   Consumo
Valor imputado:   nan
Confianza:   0
Corr:   0
k:   0
Tipo Modelo:   n/a
Predictores:   
Penalizacion_k:   0
Familia:   sin filtro
Método predictivo:   Correlacion
Advertencia:   ❌ No se permite imputación sin filtro para esta celda.
Iteración imputación:   3
</t>
      </text>
    </comment>
    <comment ref="AI8" authorId="1" shapeId="0">
      <text>
        <t xml:space="preserve">
=== CORRELATION DETAILS ===
Aeronave:   Aerosonde Mk. 4.8 Fixed wing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 authorId="1" shapeId="0">
      <text>
        <t xml:space="preserve">
=== CORRELATION DETAILS ===
Aeronave:   Aerosonde Mk. 4.8 Fixed wing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 authorId="1" shapeId="0">
      <text>
        <t xml:space="preserve">
=== CORRELATION DETAILS ===
Aeronave:   Aerosonde Mk. 4.8 Fixed wing
Parámetro:   Precio
Valor imputado:   nan
Confianza:   0
Corr:   0
k:   0
Tipo Modelo:   n/a
Predictores:   
Penalizacion_k:   0
Familia:   sin filtro
Método predictivo:   Correlacion
Advertencia:   ❌ No se permite imputación sin filtro para esta celda.
Iteración imputación:   3
</t>
      </text>
    </comment>
    <comment ref="AL8" authorId="1" shapeId="0">
      <text>
        <t xml:space="preserve">
=== CORRELATION DETAILS ===
Aeronave:   Aerosonde Mk. 4.8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9" authorId="1" shapeId="0">
      <text>
        <t xml:space="preserve">
=== CORRELATION DETAILS ===
Aeronave:   Aerosonde Mk. 4.8 VTOL FTUAS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9" authorId="1" shapeId="0">
      <text>
        <t xml:space="preserve">
=== CORRELATION DETAILS ===
Aeronave:   Aerosonde Mk. 4.8 VTOL FTUAS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9" authorId="1" shapeId="0">
      <text>
        <t xml:space="preserve">
=== CORRELATION DETAILS ===
Aeronave:   Aerosonde Mk. 4.8 VTOL FTUAS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9" authorId="1" shapeId="0">
      <text>
        <t xml:space="preserve">
=== CORRELATION DETAILS ===
Aeronave:   Aerosonde Mk. 4.8 VTOL FTUAS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9" authorId="1" shapeId="0">
      <text>
        <t xml:space="preserve">=== IMPUTED VALUE ===
Aeronave:   Aerosonde Mk. 4.8 VTOL FTUAS
Parámetro:   Área del ala
Valor imputado:   2.43
Confianza:   0.246
Método predictivo:   Correlacion
Iteración imputación:   1
variable_independiente_1:   22.7
=== CORRELATION DETAILS ===
Aeronave:   Aerosonde Mk. 4.8 VTOL FTUAS
Parámetro:   Área del ala
Valor imputado:   2.43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22.7
</t>
      </text>
    </comment>
    <comment ref="I9" authorId="1" shapeId="0">
      <text>
        <t xml:space="preserve">
=== CORRELATION DETAILS ===
Aeronave:   Aerosonde Mk. 4.8 VTOL FTUAS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9" authorId="1" shapeId="0">
      <text>
        <t xml:space="preserve">
=== CORRELATION DETAILS ===
Aeronave:   Aerosonde Mk. 4.8 VTOL FTUAS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9" authorId="1" shapeId="0">
      <text>
        <t xml:space="preserve">
=== CORRELATION DETAILS ===
Aeronave:   Aerosonde Mk. 4.8 VTOL FTUAS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9" authorId="1" shapeId="0">
      <text>
        <t xml:space="preserve">
=== CORRELATION DETAILS ===
Aeronave:   Aerosonde Mk. 4.8 VTOL FTUAS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9" authorId="1" shapeId="0">
      <text>
        <t xml:space="preserve">=== IMPUTED VALUE ===
Aeronave:   Aerosonde Mk. 4.8 VTOL FTUAS
Parámetro:   Velocidad máxima (m/s IAS)
Valor imputado:   41.7
Confianza:   0.616
Método predictivo:   Correlacion
Iteración imputación:   1
variable_independiente_1:   93
=== CORRELATION DETAILS ===
Aeronave:   Aerosonde Mk. 4.8 VTOL FTUAS
Parámetro:   Velocidad máxima (m/s IAS)
Valor imputado:   41.7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93
</t>
      </text>
    </comment>
    <comment ref="P9" authorId="1" shapeId="0">
      <text>
        <t xml:space="preserve">
=== CORRELATION DETAILS ===
Aeronave:   Aerosonde Mk. 4.8 VTOL FTUAS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9" authorId="1" shapeId="0">
      <text>
        <t xml:space="preserve">
=== CORRELATION DETAILS ===
Aeronave:   Aerosonde Mk. 4.8 VTOL FTUAS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9" authorId="1" shapeId="0">
      <text>
        <t xml:space="preserve">
=== CORRELATION DETAILS ===
Aeronave:   Aerosonde Mk. 4.8 VTOL FTUAS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9" authorId="1" shapeId="0">
      <text>
        <t xml:space="preserve">
=== CORRELATION DETAILS ===
Aeronave:   Aerosonde Mk. 4.8 VTOL FTUAS
Parámetro:   Envergadura
Valor imputado:   nan
Confianza:   0
Corr:   0
k:   0
Tipo Modelo:   n/a
Predictores:   
Penalizacion_k:   0
Familia:   sin filtro
Método predictivo:   Correlacion
Advertencia:   ❌ No se permite imputación sin filtro para esta celda.
Iteración imputación:   3
</t>
      </text>
    </comment>
    <comment ref="T9" authorId="1" shapeId="0">
      <text>
        <t xml:space="preserve">
=== CORRELATION DETAILS ===
Aeronave:   Aerosonde Mk. 4.8 VTOL FTUAS
Parámetro:   Cuerda
Valor imputado:   nan
Confianza:   0
Corr:   0
k:   0
Tipo Modelo:   n/a
Predictores:   
Penalizacion_k:   0
Familia:   sin filtro
Método predictivo:   Correlacion
Advertencia:   ❌ No se permite imputación sin filtro para esta celda.
Iteración imputación:   3
</t>
      </text>
    </comment>
    <comment ref="V9" authorId="1" shapeId="0">
      <text>
        <t xml:space="preserve">
=== CORRELATION DETAILS ===
Aeronave:   Aerosonde Mk. 4.8 VTOL FTUAS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9" authorId="1" shapeId="0">
      <text>
        <t xml:space="preserve">
=== CORRELATION DETAILS ===
Aeronave:   Aerosonde Mk. 4.8 VTOL FTUAS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9" authorId="1" shapeId="0">
      <text>
        <t xml:space="preserve">
=== CORRELATION DETAILS ===
Aeronave:   Aerosonde Mk. 4.8 VTOL FTUAS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9" authorId="1" shapeId="0">
      <text>
        <t xml:space="preserve">
=== CORRELATION DETAILS ===
Aeronave:   Aerosonde Mk. 4.8 VTOL FTUAS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9" authorId="1" shapeId="0">
      <text>
        <t xml:space="preserve">
=== CORRELATION DETAILS ===
Aeronave:   Aerosonde Mk. 4.8 VTOL FTUAS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9" authorId="1" shapeId="0">
      <text>
        <t xml:space="preserve">
=== CORRELATION DETAILS ===
Aeronave:   Aerosonde Mk. 4.8 VTOL FTUAS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9" authorId="1" shapeId="0">
      <text>
        <t xml:space="preserve">
=== CORRELATION DETAILS ===
Aeronave:   Aerosonde Mk. 4.8 VTOL FTUAS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9" authorId="1" shapeId="0">
      <text>
        <t xml:space="preserve">
=== CORRELATION DETAILS ===
Aeronave:   Aerosonde Mk. 4.8 VTOL FTUAS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9" authorId="1" shapeId="0">
      <text>
        <t xml:space="preserve">
=== CORRELATION DETAILS ===
Aeronave:   Aerosonde Mk. 4.8 VTOL FTUAS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9" authorId="1" shapeId="0">
      <text>
        <t xml:space="preserve">
=== CORRELATION DETAILS ===
Aeronave:   Aerosonde Mk. 4.8 VTOL FTUAS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9" authorId="1" shapeId="0">
      <text>
        <t xml:space="preserve">
=== CORRELATION DETAILS ===
Aeronave:   Aerosonde Mk. 4.8 VTOL FTUAS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9" authorId="1" shapeId="0">
      <text>
        <t xml:space="preserve">
=== CORRELATION DETAILS ===
Aeronave:   Aerosonde Mk. 4.8 VTOL FTUAS
Parámetro:   Consumo
Valor imputado:   nan
Confianza:   0
Corr:   0
k:   0
Tipo Modelo:   n/a
Predictores:   
Penalizacion_k:   0
Familia:   sin filtro
Método predictivo:   Correlacion
Advertencia:   ❌ No se permite imputación sin filtro para esta celda.
Iteración imputación:   3
</t>
      </text>
    </comment>
    <comment ref="AI9" authorId="1" shapeId="0">
      <text>
        <t xml:space="preserve">
=== CORRELATION DETAILS ===
Aeronave:   Aerosonde Mk. 4.8 VTOL FTUAS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9" authorId="1" shapeId="0">
      <text>
        <t xml:space="preserve">
=== CORRELATION DETAILS ===
Aeronave:   Aerosonde Mk. 4.8 VTOL FTUAS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9" authorId="1" shapeId="0">
      <text>
        <t xml:space="preserve">
=== CORRELATION DETAILS ===
Aeronave:   Aerosonde Mk. 4.8 VTOL FTUAS
Parámetro:   Precio
Valor imputado:   nan
Confianza:   0
Corr:   0
k:   0
Tipo Modelo:   n/a
Predictores:   
Penalizacion_k:   0
Familia:   sin filtro
Método predictivo:   Correlacion
Advertencia:   ❌ No se permite imputación sin filtro para esta celda.
Iteración imputación:   3
</t>
      </text>
    </comment>
    <comment ref="AL9" authorId="1" shapeId="0">
      <text>
        <t xml:space="preserve">
=== CORRELATION DETAILS ===
Aeronave:   Aerosonde Mk. 4.8 VTOL FTUAS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0" authorId="1" shapeId="0">
      <text>
        <t xml:space="preserve">
=== CORRELATION DETAILS ===
Aeronave:   AAI Aerosonde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10" authorId="1" shapeId="0">
      <text>
        <t xml:space="preserve">=== CÁLCULO APLICADO ===
formula:   TAS_5000 = IAS / sqrt(σ_5000)
inputs:
    IAS:   34.9
    σ_5000:   0.862
</t>
      </text>
    </comment>
    <comment ref="F10" authorId="1" shapeId="0">
      <text>
        <t xml:space="preserve">
=== CORRELATION DETAILS ===
Aeronave:   AAI Aerosonde
Parámetro:   Velocidad de pérdida limpia (m/s CAS)
Valor imputado:   nan
Confianza:   0
Corr:   0
k:   0
Tipo Modelo:   n/a
Predictores:   
Penalizacion_k:   0
Familia:   F2
Método predictivo:   Correlacion
Advertencia:   ❌ Todos los modelos descartados por LOOCV (MAPE &gt; 12.5% o R2 &lt;= 0.45)
Iteración imputación:   3
</t>
      </text>
    </comment>
    <comment ref="J10" authorId="1" shapeId="0">
      <text>
        <t xml:space="preserve">
=== CORRELATION DETAILS ===
Aeronave:   AAI Aerosonde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0" authorId="1" shapeId="0">
      <text>
        <t xml:space="preserve">
=== CORRELATION DETAILS ===
Aeronave:   AAI Aerosonde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0" authorId="1" shapeId="0">
      <text>
        <t xml:space="preserve">
=== CORRELATION DETAILS ===
Aeronave:   AAI Aerosonde
Parámetro:   Velocidad de pérdida (m/s CAS)
Valor imputado:   nan
Confianza:   0
Corr:   0
k:   0
Tipo Modelo:   n/a
Predictores:   
Penalizacion_k:   0
Familia:   F2
Método predictivo:   Correlacion
Advertencia:   ❌ Todos los modelos descartados por LOOCV (MAPE &gt; 12.5% o R2 &lt;= 0.45)
Iteración imputación:   3
</t>
      </text>
    </comment>
    <comment ref="Q10" authorId="1" shapeId="0">
      <text>
        <t xml:space="preserve">
=== CORRELATION DETAILS ===
Aeronave:   AAI Aerosonde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0" authorId="1" shapeId="0">
      <text>
        <t xml:space="preserve">
=== CORRELATION DETAILS ===
Aeronave:   AAI Aerosonde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U10" authorId="1" shapeId="0">
      <text>
        <t xml:space="preserve">
=== CORRELATION DETAILS ===
Aeronave:   AAI Aerosonde
Parámetro:   Payload
Valor imputado:   nan
Confianza:   0
Corr:   0
k:   0
Tipo Modelo:   n/a
Predictores:   
Penalizacion_k:   0
Familia:   F2
Método predictivo:   Correlacion
Advertencia:   ❌ Todos los modelos descartados por LOOCV (MAPE &gt; 12.5% o R2 &lt;= 0.45)
Iteración imputación:   3
</t>
      </text>
    </comment>
    <comment ref="V10" authorId="1" shapeId="0">
      <text>
        <t xml:space="preserve">
=== CORRELATION DETAILS ===
Aeronave:   AAI Aerosonde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0" authorId="1" shapeId="0">
      <text>
        <t xml:space="preserve">=== CÁLCULO APLICADO ===
formula:   V = R*1000/(h*3600)
inputs:
    R[km]:   3270.000
    Autonomía[h]:   26
</t>
      </text>
    </comment>
    <comment ref="X10" authorId="1" shapeId="0">
      <text>
        <t xml:space="preserve">
=== CORRELATION DETAILS ===
Aeronave:   AAI Aerosonde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10" authorId="1" shapeId="0">
      <text>
        <t xml:space="preserve">
=== CORRELATION DETAILS ===
Aeronave:   AAI Aerosonde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0" authorId="1" shapeId="0">
      <text>
        <t xml:space="preserve">
=== CORRELATION DETAILS ===
Aeronave:   AAI Aerosonde
Parámetro:   Peso Vacio (MTOW - payload)
Valor imputado:   nan
Confianza:   0
Corr:   0
k:   0
Tipo Modelo:   n/a
Predictores:   
Penalizacion_k:   0
Familia:   F0
Método predictivo:   Correlacion
Advertencia:   ❌ Todos los modelos descartados por LOOCV (MAPE &gt; 12.5% o R2 &lt;= 0.45)
Iteración imputación:   3
</t>
      </text>
    </comment>
    <comment ref="AB10" authorId="1" shapeId="0">
      <text>
        <t xml:space="preserve">
=== CORRELATION DETAILS ===
Aeronave:   AAI Aerosonde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0" authorId="1" shapeId="0">
      <text>
        <t xml:space="preserve">
=== CORRELATION DETAILS ===
Aeronave:   AAI Aerosonde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G10" authorId="1" shapeId="0">
      <text>
        <t xml:space="preserve">
=== CORRELATION DETAILS ===
Aeronave:   AAI Aerosonde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0" authorId="1" shapeId="0">
      <text>
        <t xml:space="preserve">
=== CORRELATION DETAILS ===
Aeronave:   AAI Aerosonde
Parámetro:   Consumo
Valor imputado:   nan
Confianza:   0
Corr:   0
k:   0
Tipo Modelo:   n/a
Predictores:   
Penalizacion_k:   0
Familia:   sin filtro
Método predictivo:   Correlacion
Advertencia:   ❌ No se permite imputación sin filtro para esta celda.
Iteración imputación:   3
</t>
      </text>
    </comment>
    <comment ref="AK10" authorId="1" shapeId="0">
      <text>
        <t xml:space="preserve">
=== CORRELATION DETAILS ===
Aeronave:   AAI Aerosonde
Parámetro:   Precio
Valor imputado:   nan
Confianza:   0
Corr:   0
k:   0
Tipo Modelo:   n/a
Predictores:   
Penalizacion_k:   0
Familia:   F2
Método predictivo:   Correlacion
Advertencia:   ❌ Todos los modelos descartados por LOOCV (MAPE &gt; 12.5% o R2 &lt;= 0.45)
Iteración imputación:   3
</t>
      </text>
    </comment>
    <comment ref="AL10" authorId="1" shapeId="0">
      <text>
        <t xml:space="preserve">
=== CORRELATION DETAILS ===
Aeronave:   AAI Aerosonde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1" authorId="1" shapeId="0">
      <text>
        <t xml:space="preserve">
=== CORRELATION DETAILS ===
Aeronave:   Fulmar 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1" authorId="1" shapeId="0">
      <text>
        <t xml:space="preserve">
=== CORRELATION DETAILS ===
Aeronave:   Fulmar 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1" authorId="1" shapeId="0">
      <text>
        <t xml:space="preserve">=== CÁLCULO APLICADO ===
formula:   TAS_5000 = IAS / sqrt(σ_5000)
inputs:
    IAS:   27.8
    σ_5000:   0.862
</t>
      </text>
    </comment>
    <comment ref="F11" authorId="1" shapeId="0">
      <text>
        <t xml:space="preserve">
=== CORRELATION DETAILS ===
Aeronave:   Fulmar X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1" authorId="1" shapeId="0">
      <text>
        <t xml:space="preserve">=== IMPUTED VALUE ===
Aeronave:   Fulmar X
Parámetro:   Área del ala
Valor imputado:   1.12
Confianza:   0.257
Método predictivo:   Correlacion
Iteración imputación:   1
variable_independiente_1:   20
=== CORRELATION DETAILS ===
Aeronave:   Fulmar X
Parámetro:   Área del ala
Valor imputado:   1.12
Confianza:   0.257
Tipo Modelo:   poly-1
Predictores:   Peso máximo al despegue (MTOW)
Coeficientes: [0.0573, -0.000605]
Peso de predictores: [1]
Aeronaves entrenamiento: [Stalker XE, Stalker VXE30 Fuel Cell, Stalker VXE30 Battery, Aerosonde Mk. 4.7 Fixed Wing, Aerosonde Mk. 4.8 Fixed wing]
k:   5
Penalizacion_k:   0.272
Corr:   0.946
MAPE:   1.52
R2:   0.993
Confianza_LOOCV:   0.232
k_LOOCV:   5
Corr_LOOCV:   0.853
MAPE_LOOCV:   3.9
R2_LOOCV:   0.966
Método predictivo:   Correlacion
Advertencia:   🟢 Modelo robusto
Familia:   F0
Iteración imputación:   1
variable_independiente_1:   20
</t>
      </text>
    </comment>
    <comment ref="H11" authorId="1" shapeId="0">
      <text>
        <t>=== IMPUTED VALUE ===
Aeronave:   Fulmar X
Parámetro:   Relación de aspecto del ala
Valor imputado:   15
Confianza:   0.271
Método predictivo:   Correlacion
Iteración imputación:   1
variable_independiente_1:   800
=== CORRELATION DETAILS ===
Aeronave:   Fulmar X
Parámetro:   Relación de aspecto del ala
Valor imputado:   15
Confianza:   0.271
Tipo Modelo:   poly-1
Predictores:   Alcance de la aeronave
Coeficientes: [0.000801, -0.000]
Peso de predictores: [1]
Aeronaves entrenamiento: [Stalker XE, Stalker VXE30 Fuel Cell, Stalker VXE30 Battery, Aerosonde Mk. 4.7 Fixed Wing, Aerosonde Mk. 4.8 Fixed wing]
k:   5
Penalizacion_k:   0.272
Corr:   0.998
MAPE:   0.0614
R2:   1
Confianza_LOOCV:   0.269
k_LOOCV:   5
Corr_LOOCV:   0.989
MAPE_LOOCV:   0.299
R2_LOOCV:   0.998
Método predictivo:   Correlacion
Advertencia:   🟢 Modelo robusto
Familia:   F0
Iteración imputación:   1
variable_independiente_1:   800
[Verificación] AR ≈ b / c
[Fórmula] Δrel = |A − B| / max(|A|, |B|, 1e−12) con A=AR, B=b/c
[Normalización] Error relativo simétrico para escalas comparables.
[Sustitución] |15.0142 − (3/0.311902)| / max(|15.0142|, |9.61841|, 1e−12)
[Resultado] Δrel=0.35938 (35.94%); severidad: no_confiable</t>
      </text>
    </comment>
    <comment ref="J11" authorId="1" shapeId="0">
      <text>
        <t xml:space="preserve">
=== CORRELATION DETAILS ===
Aeronave:   Fulmar X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1" authorId="1" shapeId="0">
      <text>
        <t xml:space="preserve">=== IMPUTED VALUE ===
Aeronave:   Fulmar X
Parámetro:   Ancho del fuselaje
Valor imputado:   0.225
Confianza:   0.256
Método predictivo:   Correlacion
Iteración imputación:   1
variable_independiente_1:   800
=== CORRELATION DETAILS ===
Aeronave:   Fulmar X
Parámetro:   Ancho del fuselaje
Valor imputado:   0.225
Confianza:   0.256
Tipo Modelo:   exp-1
Predictores:   Alcance de la aeronave
Coeficientes: [0.000212]
Peso de predictores: [1]
Aeronaves entrenamiento: [Stalker XE, Stalker VXE30 Fuel Cell, Stalker VXE30 Battery, Aerosonde Mk. 4.7 Fixed Wing, Aerosonde Mk. 4.8 Fixed wing]
k:   5
Penalizacion_k:   0.272
Corr:   0.942
MAPE:   1.53
R2:   0.985
Confianza_LOOCV:   0.245
k_LOOCV:   5
Corr_LOOCV:   0.901
MAPE_LOOCV:   2.44
R2_LOOCV:   0.965
Método predictivo:   Correlacion
Advertencia:   🟢 Modelo robusto
Familia:   F0
Iteración imputación:   1
variable_independiente_1:   800
</t>
      </text>
    </comment>
    <comment ref="P11" authorId="1" shapeId="0">
      <text>
        <t xml:space="preserve">
=== CORRELATION DETAILS ===
Aeronave:   Fulmar X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1" authorId="1" shapeId="0">
      <text>
        <t xml:space="preserve">
=== CORRELATION DETAILS ===
Aeronave:   Fulmar X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1" authorId="1" shapeId="0">
      <text>
        <t xml:space="preserve">
=== CORRELATION DETAILS ===
Aeronave:   Fulmar X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1" authorId="2" shapeId="0">
      <text>
        <t>[Verificación] AR ≈ b / c
[Fórmula] Δrel = |A − B| / max(|A|, |B|, 1e−12) con A=AR, B=b/c
[Normalización] Error relativo simétrico para escalas comparables.
[Sustitución] |15.0142 − (3/0.311902)| / max(|15.0142|, |9.61841|, 1e−12)
[Resultado] Δrel=0.35938 (35.94%); severidad: no_confiable</t>
      </text>
    </comment>
    <comment ref="T11" authorId="1" shapeId="0">
      <text>
        <t>=== IMPUTED VALUE ===
Aeronave:   Fulmar X
Parámetro:   Cuerda
Valor imputado:   0.312
Confianza:   0.682
Método predictivo:   Correlacion
Iteración imputación:   2
variable_independiente_1:   1.12
=== CORRELATION DETAILS ===
Aeronave:   Fulmar X
Parámetro:   Cuerda
Valor imputado:   0.312
Confianza:   0.682
Tipo Modelo:   poly-1
Predictores:   Área del ala
Coeficientes: [0.841, -0.28]
Peso de predictores: [1]
Aeronaves entrenamiento: [Stalker XE, Stalker VXE30 Fuel Cell, Stalker VXE30 Battery, Aerosonde Mk. 4.7 Fixed Wing, Aerosonde Mk. 4.8 Fixed wing, ScanEagle, Integrator, Integrator Extended Range, ScanEagle 3, RQ Nan 21A Blackjack]
k:   10
Penalizacion_k:   0.693
Corr:   0.984
MAPE:   0.424
R2:   0.997
Confianza_LOOCV:   0.657
k_LOOCV:   10
Corr_LOOCV:   0.949
MAPE_LOOCV:   1.07
R2_LOOCV:   0.97
Método predictivo:   Correlacion
Advertencia:   🟢 Modelo robusto
Familia:   F0
Iteración imputación:   2
variable_independiente_1:   1.12
[Verificación] AR ≈ b / c
[Fórmula] Δrel = |A − B| / max(|A|, |B|, 1e−12) con A=AR, B=b/c
[Normalización] Error relativo simétrico para escalas comparables.
[Sustitución] |15.0142 − (3/0.311902)| / max(|15.0142|, |9.61841|, 1e−12)
[Resultado] Δrel=0.35938 (35.94%); severidad: no_confiable</t>
      </text>
    </comment>
    <comment ref="U11" authorId="1" shapeId="0">
      <text>
        <t xml:space="preserve">
=== CORRELATION DETAILS ===
Aeronave:   Fulmar X
Parámetro:   Payload
Valor imputado:   nan
Confianza:   0
Corr:   0
k:   0
Tipo Modelo:   n/a
Predictores:   
Penalizacion_k:   0
Familia:   sin filtro
Método predictivo:   Correlacion
Advertencia:   ❌ No se permite imputación sin filtro para esta celda.
Iteración imputación:   3
</t>
      </text>
    </comment>
    <comment ref="V11" authorId="1" shapeId="0">
      <text>
        <t xml:space="preserve">
=== CORRELATION DETAILS ===
Aeronave:   Fulmar X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1" authorId="1" shapeId="0">
      <text>
        <t xml:space="preserve">
=== CORRELATION DETAILS ===
Aeronave:   Fulmar X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1" authorId="1" shapeId="0">
      <text>
        <t xml:space="preserve">
=== CORRELATION DETAILS ===
Aeronave:   Fulmar X
Parámetro:   Peso frame
Valor imputado:   nan
Confianza:   0
Corr:   0
k:   0
Tipo Modelo:   n/a
Predictores:   
Penalizacion_k:   0
Familia:   sin filtro
Método predictivo:   Correlacion
Advertencia:   ❌ No se permite imputación sin filtro para esta celda.
Iteración imputación:   3
</t>
      </text>
    </comment>
    <comment ref="Z11" authorId="1" shapeId="0">
      <text>
        <t xml:space="preserve">
=== CORRELATION DETAILS ===
Aeronave:   Fulmar X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1" authorId="1" shapeId="0">
      <text>
        <t xml:space="preserve">=== IMPUTED VALUE ===
Aeronave:   Fulmar X
Parámetro:   Peso Vacio (MTOW - payload)
Valor imputado:   16
Confianza:   0.596
Método predictivo:   Correlacion
Iteración imputación:   1
variable_independiente_1:   20
=== CORRELATION DETAILS ===
Aeronave:   Fulmar X
Parámetro:   Peso Vacio (MTOW - payload)
Valor imputado:   16
Confianza:   0.596
Tipo Modelo:   linear-1
Predictores:   Peso máximo al despegue (MTOW)
Coeficientes: [0.71]
Peso de predictores: [1]
Aeronaves entrenamiento: [Stalker XE, Stalker VXE30 Fuel Cell, Stalker VXE30 Battery, Aerosonde Mk. 4.7 Fixed Wing, Aerosonde Mk. 4.8 Fixed wing, Orbiter 4, ScanEagle, Integrator, Integrator Extended Range, ScanEagle 3, RQ Nan 21A Blackjack]
k:   11
Penalizacion_k:   0.764
Corr:   0.779
MAPE:   6.29
R2:   0.979
Confianza_LOOCV:   0.559
k_LOOCV:   11
Corr_LOOCV:   0.731
MAPE_LOOCV:   7.61
R2_LOOCV:   0.97
Método predictivo:   Correlacion
Advertencia:   🟡 Modelo no robusto
Familia:   F0
Iteración imputación:   1
variable_independiente_1:   20
</t>
      </text>
    </comment>
    <comment ref="AB11" authorId="1" shapeId="0">
      <text>
        <t xml:space="preserve">
=== CORRELATION DETAILS ===
Aeronave:   Fulmar X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1" authorId="1" shapeId="0">
      <text>
        <t xml:space="preserve">
=== CORRELATION DETAILS ===
Aeronave:   Fulmar X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1" authorId="1" shapeId="0">
      <text>
        <t xml:space="preserve">=== IMPUTED VALUE ===
Aeronave:   Fulmar X
Parámetro:   Rango de comunicación
Valor imputado:   120
Confianza:   0.471
Método predictivo:   Correlacion
Iteración imputación:   1
variable_independiente_1:   41.7
=== CORRELATION DETAILS ===
Aeronave:   Fulmar X
Parámetro:   Rango de comunicación
Valor imputado:   120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41.7
</t>
      </text>
    </comment>
    <comment ref="AE11" authorId="1" shapeId="0">
      <text>
        <t xml:space="preserve">
=== CORRELATION DETAILS ===
Aeronave:   Fulmar X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1" authorId="1" shapeId="0">
      <text>
        <t xml:space="preserve">
=== CORRELATION DETAILS ===
Aeronave:   Fulmar X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1" authorId="1" shapeId="0">
      <text>
        <t xml:space="preserve">
=== CORRELATION DETAILS ===
Aeronave:   Fulmar X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1" authorId="1" shapeId="0">
      <text>
        <t xml:space="preserve">
=== CORRELATION DETAILS ===
Aeronave:   Fulmar X
Parámetro:   Consumo
Valor imputado:   nan
Confianza:   0
Corr:   0
k:   0
Tipo Modelo:   n/a
Predictores:   
Penalizacion_k:   0
Familia:   sin filtro
Método predictivo:   Correlacion
Advertencia:   ❌ No se permite imputación sin filtro para esta celda.
Iteración imputación:   3
</t>
      </text>
    </comment>
    <comment ref="AI11" authorId="1" shapeId="0">
      <text>
        <t xml:space="preserve">
=== CORRELATION DETAILS ===
Aeronave:   Fulmar X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1" authorId="1" shapeId="0">
      <text>
        <t xml:space="preserve">
=== CORRELATION DETAILS ===
Aeronave:   Fulmar X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1" authorId="1" shapeId="0">
      <text>
        <t xml:space="preserve">
=== CORRELATION DETAILS ===
Aeronave:   Fulmar X
Parámetro:   Precio
Valor imputado:   nan
Confianza:   0
Corr:   0
k:   0
Tipo Modelo:   n/a
Predictores:   
Penalizacion_k:   0
Familia:   sin filtro
Método predictivo:   Correlacion
Advertencia:   ❌ No se permite imputación sin filtro para esta celda.
Iteración imputación:   3
</t>
      </text>
    </comment>
    <comment ref="AL11" authorId="1" shapeId="0">
      <text>
        <t xml:space="preserve">
=== CORRELATION DETAILS ===
Aeronave:   Fulmar X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2" authorId="1" shapeId="0">
      <text>
        <t xml:space="preserve">
=== CORRELATION DETAILS ===
Aeronave:   Orbiter 4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2" authorId="1" shapeId="0">
      <text>
        <t xml:space="preserve">
=== CORRELATION DETAILS ===
Aeronave:   Orbiter 4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2" authorId="1" shapeId="0">
      <text>
        <t xml:space="preserve">
=== CORRELATION DETAILS ===
Aeronave:   Orbiter 4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12" authorId="1" shapeId="0">
      <text>
        <t xml:space="preserve">
=== CORRELATION DETAILS ===
Aeronave:   Orbiter 4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2" authorId="1" shapeId="0">
      <text>
        <t xml:space="preserve">
=== CORRELATION DETAILS ===
Aeronave:   Orbiter 4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2" authorId="1" shapeId="0">
      <text>
        <t xml:space="preserve">
=== CORRELATION DETAILS ===
Aeronave:   Orbiter 4
Parámetro:   Área del ala
Valor imputado:   nan
Confianza:   0
Corr:   0
k:   0
Tipo Modelo:   n/a
Predictores:   
Penalizacion_k:   0
Familia:   F0
Método predictivo:   Correlacion
Advertencia:   ❌ Todos los modelos descartados por LOOCV (MAPE &gt; 12.5% o R2 &lt;= 0.45)
Iteración imputación:   3
</t>
      </text>
    </comment>
    <comment ref="H12" authorId="1" shapeId="0">
      <text>
        <t xml:space="preserve">=== IMPUTED VALUE ===
Aeronave:   Orbiter 4
Parámetro:   Relación de aspecto del ala
Valor imputado:   12.9
Confianza:   0.267
Método predictivo:   Correlacion
Iteración imputación:   1
variable_independiente_1:   12
=== CORRELATION DETAILS ===
Aeronave:   Orbiter 4
Parámetro:   Relación de aspecto del ala
Valor imputado:   12.9
Confianza:   0.267
Tipo Modelo:   pot-1
Predictores:   Payload
Coeficientes: [-0.109]
Peso de predictores: [1]
Aeronaves entrenamiento: [Stalker XE, Stalker VXE30 Fuel Cell, Stalker VXE30 Battery, Aerosonde Mk. 4.7 Fixed Wing, Aerosonde Mk. 4.8 Fixed wing]
k:   5
Penalizacion_k:   0.272
Corr:   0.982
MAPE:   0.486
R2:   0.996
Confianza_LOOCV:   0.238
k_LOOCV:   5
Corr_LOOCV:   0.875
MAPE_LOOCV:   2.3
R2_LOOCV:   0.903
Método predictivo:   Correlacion
Advertencia:   🟢 Modelo robusto
Familia:   F0
Iteración imputación:   1
variable_independiente_1:   12
</t>
      </text>
    </comment>
    <comment ref="J12" authorId="1" shapeId="0">
      <text>
        <t xml:space="preserve">
=== CORRELATION DETAILS ===
Aeronave:   Orbiter 4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2" authorId="1" shapeId="0">
      <text>
        <t xml:space="preserve">=== IMPUTED VALUE ===
Aeronave:   Orbiter 4
Parámetro:   Ancho del fuselaje
Valor imputado:   0.265
Confianza:   0.251
Método predictivo:   Correlacion
Iteración imputación:   1
variable_independiente_1:   12
=== CORRELATION DETAILS ===
Aeronave:   Orbiter 4
Parámetro:   Ancho del fuselaje
Valor imputado:   0.265
Confianza:   0.251
Tipo Modelo:   log-1
Predictores:   Payload
Coeficientes: [0.0392]
Peso de predictores: [1]
Aeronaves entrenamiento: [Stalker XE, Stalker VXE30 Fuel Cell, Stalker VXE30 Battery, Aerosonde Mk. 4.7 Fixed Wing, Aerosonde Mk. 4.8 Fixed wing]
k:   5
Penalizacion_k:   0.272
Corr:   0.925
MAPE:   2.01
R2:   0.983
Confianza_LOOCV:   0.212
k_LOOCV:   5
Corr_LOOCV:   0.78
MAPE_LOOCV:   4.76
R2_LOOCV:   0.877
Método predictivo:   Correlacion
Advertencia:   🟢 Modelo robusto
Familia:   F0
Iteración imputación:   1
variable_independiente_1:   12
</t>
      </text>
    </comment>
    <comment ref="M12" authorId="1" shapeId="0">
      <text>
        <t xml:space="preserve">
=== CORRELATION DETAILS ===
Aeronave:   Orbiter 4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P12" authorId="1" shapeId="0">
      <text>
        <t xml:space="preserve">
=== CORRELATION DETAILS ===
Aeronave:   Orbiter 4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2" authorId="1" shapeId="0">
      <text>
        <t xml:space="preserve">
=== CORRELATION DETAILS ===
Aeronave:   Orbiter 4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2" authorId="1" shapeId="0">
      <text>
        <t xml:space="preserve">
=== CORRELATION DETAILS ===
Aeronave:   Orbiter 4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2" authorId="1" shapeId="0">
      <text>
        <t xml:space="preserve">
=== CORRELATION DETAILS ===
Aeronave:   Orbiter 4
Parámetro:   Cuerda
Valor imputado:   nan
Confianza:   0
Corr:   0
k:   0
Tipo Modelo:   n/a
Predictores:   
Penalizacion_k:   0
Familia:   F0
Método predictivo:   Correlacion
Advertencia:   ❌ Todos los modelos descartados por LOOCV (MAPE &gt; 12.5% o R2 &lt;= 0.45)
Iteración imputación:   3
</t>
      </text>
    </comment>
    <comment ref="V12" authorId="1" shapeId="0">
      <text>
        <t xml:space="preserve">
=== CORRELATION DETAILS ===
Aeronave:   Orbiter 4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2" authorId="1" shapeId="0">
      <text>
        <t xml:space="preserve">
=== CORRELATION DETAILS ===
Aeronave:   Orbiter 4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12" authorId="1" shapeId="0">
      <text>
        <t xml:space="preserve">
=== CORRELATION DETAILS ===
Aeronave:   Orbiter 4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2" authorId="1" shapeId="0">
      <text>
        <t xml:space="preserve">
=== CORRELATION DETAILS ===
Aeronave:   Orbiter 4
Parámetro:   Peso frame
Valor imputado:   nan
Confianza:   0
Corr:   0
k:   0
Tipo Modelo:   n/a
Predictores:   
Penalizacion_k:   0
Familia:   sin filtro
Método predictivo:   Correlacion
Advertencia:   ❌ No se permite imputación sin filtro para esta celda.
Iteración imputación:   3
</t>
      </text>
    </comment>
    <comment ref="Z12" authorId="1" shapeId="0">
      <text>
        <t xml:space="preserve">
=== CORRELATION DETAILS ===
Aeronave:   Orbiter 4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2" authorId="1" shapeId="0">
      <text>
        <t xml:space="preserve">=== CÁLCULO APLICADO ===
formula:   W0 = MTOW - Payload
inputs:
    MTOW:   55
    Payload:   12
</t>
      </text>
    </comment>
    <comment ref="AB12" authorId="1" shapeId="0">
      <text>
        <t xml:space="preserve">
=== CORRELATION DETAILS ===
Aeronave:   Orbiter 4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2" authorId="1" shapeId="0">
      <text>
        <t xml:space="preserve">
=== CORRELATION DETAILS ===
Aeronave:   Orbiter 4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2" authorId="1" shapeId="0">
      <text>
        <t xml:space="preserve">
=== CORRELATION DETAILS ===
Aeronave:   Orbiter 4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2" authorId="1" shapeId="0">
      <text>
        <t xml:space="preserve">
=== CORRELATION DETAILS ===
Aeronave:   Orbiter 4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2" authorId="1" shapeId="0">
      <text>
        <t xml:space="preserve">
=== CORRELATION DETAILS ===
Aeronave:   Orbiter 4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2" authorId="1" shapeId="0">
      <text>
        <t xml:space="preserve">
=== CORRELATION DETAILS ===
Aeronave:   Orbiter 4
Parámetro:   Consumo
Valor imputado:   nan
Confianza:   0
Corr:   0
k:   0
Tipo Modelo:   n/a
Predictores:   
Penalizacion_k:   0
Familia:   sin filtro
Método predictivo:   Correlacion
Advertencia:   ❌ No se permite imputación sin filtro para esta celda.
Iteración imputación:   3
</t>
      </text>
    </comment>
    <comment ref="AI12" authorId="1" shapeId="0">
      <text>
        <t xml:space="preserve">
=== CORRELATION DETAILS ===
Aeronave:   Orbiter 4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2" authorId="1" shapeId="0">
      <text>
        <t xml:space="preserve">
=== CORRELATION DETAILS ===
Aeronave:   Orbiter 4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2" authorId="1" shapeId="0">
      <text>
        <t xml:space="preserve">
=== CORRELATION DETAILS ===
Aeronave:   Orbiter 4
Parámetro:   Precio
Valor imputado:   nan
Confianza:   0
Corr:   0
k:   0
Tipo Modelo:   n/a
Predictores:   
Penalizacion_k:   0
Familia:   sin filtro
Método predictivo:   Correlacion
Advertencia:   ❌ No se permite imputación sin filtro para esta celda.
Iteración imputación:   3
</t>
      </text>
    </comment>
    <comment ref="AL12" authorId="1" shapeId="0">
      <text>
        <t xml:space="preserve">
=== CORRELATION DETAILS ===
Aeronave:   Orbiter 4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3" authorId="1" shapeId="0">
      <text>
        <t xml:space="preserve">
=== CORRELATION DETAILS ===
Aeronave:   Orbiter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3" authorId="1" shapeId="0">
      <text>
        <t xml:space="preserve">
=== CORRELATION DETAILS ===
Aeronave:   Orbiter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3" authorId="1" shapeId="0">
      <text>
        <t xml:space="preserve">=== CÁLCULO APLICADO ===
formula:   TAS_5000 = IAS / sqrt(σ_5000)
inputs:
    IAS:   2.31
    σ_5000:   0.862
</t>
      </text>
    </comment>
    <comment ref="E13" authorId="1" shapeId="0">
      <text>
        <t xml:space="preserve">
=== CORRELATION DETAILS ===
Aeronave:   Orbiter 3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3" authorId="1" shapeId="0">
      <text>
        <t xml:space="preserve">
=== CORRELATION DETAILS ===
Aeronave:   Orbiter 3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3" authorId="1" shapeId="0">
      <text>
        <t xml:space="preserve">=== IMPUTED VALUE ===
Aeronave:   Orbiter 3
Parámetro:   Área del ala
Valor imputado:   1.43
Confianza:   0.257
Método predictivo:   Correlacion
Iteración imputación:   1
variable_independiente_1:   32
=== CORRELATION DETAILS ===
Aeronave:   Orbiter 3
Parámetro:   Área del ala
Valor imputado:   1.43
Confianza:   0.257
Tipo Modelo:   poly-1
Predictores:   Peso máximo al despegue (MTOW)
Coeficientes: [0.0573, -0.000605]
Peso de predictores: [1]
Aeronaves entrenamiento: [Stalker XE, Stalker VXE30 Fuel Cell, Stalker VXE30 Battery, Aerosonde Mk. 4.7 Fixed Wing, Aerosonde Mk. 4.8 Fixed wing]
k:   5
Penalizacion_k:   0.272
Corr:   0.946
MAPE:   1.52
R2:   0.993
Confianza_LOOCV:   0.232
k_LOOCV:   5
Corr_LOOCV:   0.853
MAPE_LOOCV:   3.9
R2_LOOCV:   0.966
Método predictivo:   Correlacion
Advertencia:   🟢 Modelo robusto
Familia:   F2
Iteración imputación:   1
variable_independiente_1:   32
</t>
      </text>
    </comment>
    <comment ref="H13" authorId="1" shapeId="0">
      <text>
        <t>=== IMPUTED VALUE ===
Aeronave:   Orbiter 3
Parámetro:   Relación de aspecto del ala
Valor imputado:   15.4
Confianza:   0.272
Método predictivo:   Correlacion
Iteración imputación:   1
variable_independiente_1:   6
=== CORRELATION DETAILS ===
Aeronave:   Orbiter 3
Parámetro:   Relación de aspecto del ala
Valor imputado:   15.4
Confianza:   0.272
Tipo Modelo:   poly-1
Predictores:   Autonomía de la aeronave
Coeficientes: [0.176, -0.0149]
Peso de predictores: [1]
Aeronaves entrenamiento: [Stalker XE, Stalker VXE30 Fuel Cell, Stalker VXE30 Battery, Aerosonde Mk. 4.7 Fixed Wing, Aerosonde Mk. 4.8 Fixed wing]
k:   5
Penalizacion_k:   0.272
Corr:   0.999
MAPE:   0.0329
R2:   1
Confianza_LOOCV:   0.257
k_LOOCV:   5
Corr_LOOCV:   0.945
MAPE_LOOCV:   0.94
R2_LOOCV:   0.953
Método predictivo:   Correlacion
Advertencia:   Advertencia: El MAPE de validación es más de 5 veces mayor que el de entrenamiento (0.94% vs 0.03%). Posible sobreajuste.; 🟢 Modelo robusto
Familia:   F2
Iteración imputación:   1
variable_independiente_1:   6
[Verificación] AR ≈ b / c
[Fórmula] Δrel = |A − B| / max(|A|, |B|, 1e−12) con A=AR, B=b/c
[Normalización] Error relativo simétrico para escalas comparables.
[Sustitución] |15.3797 − (4.4/0.355134)| / max(|15.3797|, |12.3897|, 1e−12)
[Resultado] Δrel=0.194414 (19.44%); severidad: no_confiable</t>
      </text>
    </comment>
    <comment ref="J13" authorId="1" shapeId="0">
      <text>
        <t xml:space="preserve">
=== CORRELATION DETAILS ===
Aeronave:   Orbiter 3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3" authorId="1" shapeId="0">
      <text>
        <t xml:space="preserve">=== IMPUTED VALUE ===
Aeronave:   Orbiter 3
Parámetro:   Ancho del fuselaje
Valor imputado:   0.202
Confianza:   0.261
Método predictivo:   Correlacion
Iteración imputación:   1
variable_independiente_1:   6
=== CORRELATION DETAILS ===
Aeronave:   Orbiter 3
Parámetro:   Ancho del fuselaje
Valor imputado:   0.202
Confianza:   0.261
Tipo Modelo:   poly-1
Predictores:   Autonomía de la aeronave
Coeficientes: [-0.00218, 0.000296]
Peso de predictores: [1]
Aeronaves entrenamiento: [Stalker XE, Stalker VXE30 Fuel Cell, Stalker VXE30 Battery, Aerosonde Mk. 4.7 Fixed Wing, Aerosonde Mk. 4.8 Fixed wing]
k:   5
Penalizacion_k:   0.272
Corr:   0.96
MAPE:   1.07
R2:   0.991
Confianza_LOOCV:   0.234
k_LOOCV:   5
Corr_LOOCV:   0.86
MAPE_LOOCV:   3.33
R2_LOOCV:   0.941
Método predictivo:   Correlacion
Advertencia:   🟢 Modelo robusto
Familia:   F2
Iteración imputación:   1
variable_independiente_1:   6
</t>
      </text>
    </comment>
    <comment ref="P13" authorId="1" shapeId="0">
      <text>
        <t xml:space="preserve">
=== CORRELATION DETAILS ===
Aeronave:   Orbiter 3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3" authorId="1" shapeId="0">
      <text>
        <t xml:space="preserve">
=== CORRELATION DETAILS ===
Aeronave:   Orbiter 3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3" authorId="1" shapeId="0">
      <text>
        <t xml:space="preserve">
=== CORRELATION DETAILS ===
Aeronave:   Orbiter 3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3" authorId="2" shapeId="0">
      <text>
        <t>[Verificación] AR ≈ b / c
[Fórmula] Δrel = |A − B| / max(|A|, |B|, 1e−12) con A=AR, B=b/c
[Normalización] Error relativo simétrico para escalas comparables.
[Sustitución] |15.3797 − (4.4/0.355134)| / max(|15.3797|, |12.3897|, 1e−12)
[Resultado] Δrel=0.194414 (19.44%); severidad: no_confiable</t>
      </text>
    </comment>
    <comment ref="T13" authorId="1" shapeId="0">
      <text>
        <t>=== IMPUTED VALUE ===
Aeronave:   Orbiter 3
Parámetro:   Cuerda
Valor imputado:   0.355
Confianza:   0.255
Método predictivo:   Correlacion
Iteración imputación:   1
variable_independiente_1:   26.5
=== CORRELATION DETAILS ===
Aeronave:   Orbiter 3
Parámetro:   Cuerda
Valor imputado:   0.355
Confianza:   0.255
Tipo Modelo:   poly-1
Predictores:   Peso Vacio (MTOW - payload)
Coeficientes: [0.0184, -0.000299]
Peso de predictores: [1]
Aeronaves entrenamiento: [Stalker XE, Stalker VXE30 Fuel Cell, Stalker VXE30 Battery, Aerosonde Mk. 4.7 Fixed Wing, Aerosonde Mk. 4.8 Fixed wing]
k:   5
Penalizacion_k:   0.272
Corr:   0.937
MAPE:   1.6
R2:   0.98
Confianza_LOOCV:   0.165
k_LOOCV:   5
Corr_LOOCV:   0.605
MAPE_LOOCV:   6.8
R2_LOOCV:   0.664
Método predictivo:   Correlacion
Advertencia:   🟢 Modelo robusto
Familia:   F2
Iteración imputación:   1
variable_independiente_1:   26.5
[Verificación] AR ≈ b / c
[Fórmula] Δrel = |A − B| / max(|A|, |B|, 1e−12) con A=AR, B=b/c
[Normalización] Error relativo simétrico para escalas comparables.
[Sustitución] |15.3797 − (4.4/0.355134)| / max(|15.3797|, |12.3897|, 1e−12)
[Resultado] Δrel=0.194414 (19.44%); severidad: no_confiable</t>
      </text>
    </comment>
    <comment ref="V13" authorId="1" shapeId="0">
      <text>
        <t xml:space="preserve">
=== CORRELATION DETAILS ===
Aeronave:   Orbiter 3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3" authorId="1" shapeId="0">
      <text>
        <t xml:space="preserve">=== CÁLCULO APLICADO ===
formula:   V = R*1000/(h*3600)
inputs:
    R[km]:   50
    Autonomía[h]:   6
</t>
      </text>
    </comment>
    <comment ref="X13" authorId="1" shapeId="0">
      <text>
        <t xml:space="preserve">
=== CORRELATION DETAILS ===
Aeronave:   Orbiter 3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3" authorId="1" shapeId="0">
      <text>
        <t xml:space="preserve">
=== CORRELATION DETAILS ===
Aeronave:   Orbiter 3
Parámetro:   Peso frame
Valor imputado:   nan
Confianza:   0
Corr:   0
k:   0
Tipo Modelo:   n/a
Predictores:   
Penalizacion_k:   0
Familia:   sin filtro
Método predictivo:   Correlacion
Advertencia:   ❌ No se permite imputación sin filtro para esta celda.
Iteración imputación:   3
</t>
      </text>
    </comment>
    <comment ref="Z13" authorId="1" shapeId="0">
      <text>
        <t xml:space="preserve">
=== CORRELATION DETAILS ===
Aeronave:   Orbiter 3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3" authorId="1" shapeId="0">
      <text>
        <t xml:space="preserve">=== CÁLCULO APLICADO ===
formula:   W0 = MTOW - Payload
inputs:
    MTOW:   32
    Payload:   5.5
</t>
      </text>
    </comment>
    <comment ref="AB13" authorId="1" shapeId="0">
      <text>
        <t xml:space="preserve">
=== CORRELATION DETAILS ===
Aeronave:   Orbiter 3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3" authorId="1" shapeId="0">
      <text>
        <t xml:space="preserve">
=== CORRELATION DETAILS ===
Aeronave:   Orbiter 3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3" authorId="1" shapeId="0">
      <text>
        <t xml:space="preserve">
=== CORRELATION DETAILS ===
Aeronave:   Orbiter 3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3" authorId="1" shapeId="0">
      <text>
        <t xml:space="preserve">
=== CORRELATION DETAILS ===
Aeronave:   Orbiter 3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3" authorId="1" shapeId="0">
      <text>
        <t xml:space="preserve">
=== CORRELATION DETAILS ===
Aeronave:   Orbiter 3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3" authorId="1" shapeId="0">
      <text>
        <t xml:space="preserve">
=== CORRELATION DETAILS ===
Aeronave:   Orbiter 3
Parámetro:   Consumo
Valor imputado:   nan
Confianza:   0
Corr:   0
k:   0
Tipo Modelo:   n/a
Predictores:   
Penalizacion_k:   0
Familia:   sin filtro
Método predictivo:   Correlacion
Advertencia:   ❌ No se permite imputación sin filtro para esta celda.
Iteración imputación:   3
</t>
      </text>
    </comment>
    <comment ref="AI13" authorId="1" shapeId="0">
      <text>
        <t xml:space="preserve">
=== CORRELATION DETAILS ===
Aeronave:   Orbiter 3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3" authorId="1" shapeId="0">
      <text>
        <t xml:space="preserve">
=== CORRELATION DETAILS ===
Aeronave:   Orbiter 3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3" authorId="1" shapeId="0">
      <text>
        <t xml:space="preserve">
=== CORRELATION DETAILS ===
Aeronave:   Orbiter 3
Parámetro:   Precio
Valor imputado:   nan
Confianza:   0
Corr:   0
k:   0
Tipo Modelo:   n/a
Predictores:   
Penalizacion_k:   0
Familia:   sin filtro
Método predictivo:   Correlacion
Advertencia:   ❌ No se permite imputación sin filtro para esta celda.
Iteración imputación:   3
</t>
      </text>
    </comment>
    <comment ref="AL13" authorId="1" shapeId="0">
      <text>
        <t xml:space="preserve">
=== CORRELATION DETAILS ===
Aeronave:   Orbiter 3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4" authorId="1" shapeId="0">
      <text>
        <t xml:space="preserve">
=== CORRELATION DETAILS ===
Aeronave:   Mantis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4" authorId="1" shapeId="0">
      <text>
        <t xml:space="preserve">
=== CORRELATION DETAILS ===
Aeronave:   Mantis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4" authorId="1" shapeId="0">
      <text>
        <t xml:space="preserve">=== CÁLCULO APLICADO ===
formula:   TAS_5000 = IAS / sqrt(σ_5000)
inputs:
    IAS:   16.7
    σ_5000:   0.862
</t>
      </text>
    </comment>
    <comment ref="E14" authorId="1" shapeId="0">
      <text>
        <t xml:space="preserve">
=== CORRELATION DETAILS ===
Aeronave:   Mantis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4" authorId="1" shapeId="0">
      <text>
        <t xml:space="preserve">
=== CORRELATION DETAILS ===
Aeronave:   Mantis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4" authorId="1" shapeId="0">
      <text>
        <t xml:space="preserve">=== IMPUTED VALUE ===
Aeronave:   Mantis
Parámetro:   Área del ala
Valor imputado:   1.19
Confianza:   0.272
Método predictivo:   Correlacion
Iteración imputación:   1
variable_independiente_1:   25.6
=== CORRELATION DETAILS ===
Aeronave:   Mantis
Parámetro:   Área del ala
Valor imputado:   1.19
Confianza:   0.272
Tipo Modelo:   poly-1
Predictores:   Velocidad máxima (m/s IAS)
Coeficientes: [0.093, -0.000793]
Peso de predictores: [1]
Aeronaves entrenamiento: [Stalker XE, Stalker VXE30 Fuel Cell, Stalker VXE30 Battery, Aerosonde Mk. 4.7 Fixed Wing, Aerosonde Mk. 4.8 Fixed wing]
k:   5
Penalizacion_k:   0.272
Corr:   1
MAPE:   0.000
R2:   1
Confianza_LOOCV:   0.252
k_LOOCV:   5
Corr_LOOCV:   0.929
MAPE_LOOCV:   1.85
R2_LOOCV:   0.981
Método predictivo:   Correlacion
Advertencia:   Advertencia: El MAPE de validación es más de 5 veces mayor que el de entrenamiento (1.85% vs 0.00%). Posible sobreajuste.; 🟢 Modelo robusto
Familia:   F2
Iteración imputación:   1
variable_independiente_1:   25.6
</t>
      </text>
    </comment>
    <comment ref="H14" authorId="1" shapeId="0">
      <text>
        <t>=== IMPUTED VALUE ===
Aeronave:   Mantis
Parámetro:   Relación de aspecto del ala
Valor imputado:   15.3
Confianza:   0.272
Método predictivo:   Correlacion
Iteración imputación:   1
variable_independiente_1:   16.7
=== CORRELATION DETAILS ===
Aeronave:   Mantis
Parámetro:   Relación de aspecto del ala
Valor imputado:   15.3
Confianza:   0.272
Tipo Modelo:   poly-1
Predictores:   Velocidad crucero m/s
Coeficientes: [1.21, -0.0372]
Peso de predictores: [1]
Aeronaves entrenamiento: [Stalker XE, Stalker VXE30 Fuel Cell, Stalker VXE30 Battery, Aerosonde Mk. 4.7 Fixed Wing, Aerosonde Mk. 4.8 Fixed wing]
k:   5
Penalizacion_k:   0.272
Corr:   1
MAPE:   0.000
R2:   1
Confianza_LOOCV:   0.269
k_LOOCV:   5
Corr_LOOCV:   0.989
MAPE_LOOCV:   0.275
R2_LOOCV:   0.995
Método predictivo:   Correlacion
Advertencia:   Advertencia: El MAPE de validación es más de 5 veces mayor que el de entrenamiento (0.27% vs 0.00%). Posible sobreajuste.; 🟢 Modelo robusto
Familia:   F2
Iteración imputación:   1
variable_independiente_1:   16.7
[Verificación] AR ≈ b / c
[Fórmula] Δrel = |A − B| / max(|A|, |B|, 1e−12) con A=AR, B=b/c
[Normalización] Error relativo simétrico para escalas comparables.
[Sustitución] |15.321 − (2.1/0.324335)| / max(|15.321|, |6.47479|, 1e−12)
[Resultado] Δrel=0.577393 (57.74%); severidad: no_confiable</t>
      </text>
    </comment>
    <comment ref="J14" authorId="1" shapeId="0">
      <text>
        <t xml:space="preserve">
=== CORRELATION DETAILS ===
Aeronave:   Mantis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4" authorId="1" shapeId="0">
      <text>
        <t xml:space="preserve">=== IMPUTED VALUE ===
Aeronave:   Mantis
Parámetro:   Ancho del fuselaje
Valor imputado:   0.192
Confianza:   0.272
Método predictivo:   Correlacion
Iteración imputación:   1
variable_independiente_1:   16.7
=== CORRELATION DETAILS ===
Aeronave:   Mantis
Parámetro:   Ancho del fuselaje
Valor imputado:   0.192
Confianza:   0.272
Tipo Modelo:   poly-1
Predictores:   Velocidad crucero m/s
Coeficientes: [-0.1, 0.00265]
Peso de predictores: [1]
Aeronaves entrenamiento: [Stalker XE, Stalker VXE30 Fuel Cell, Stalker VXE30 Battery, Aerosonde Mk. 4.7 Fixed Wing, Aerosonde Mk. 4.8 Fixed wing]
k:   5
Penalizacion_k:   0.272
Corr:   1
MAPE:   0.000
R2:   1
Confianza_LOOCV:   0.253
k_LOOCV:   5
Corr_LOOCV:   0.93
MAPE_LOOCV:   1.52
R2_LOOCV:   0.961
Método predictivo:   Correlacion
Advertencia:   Advertencia: El MAPE de validación es más de 5 veces mayor que el de entrenamiento (1.52% vs 0.00%). Posible sobreajuste.; 🟢 Modelo robusto
Familia:   F2
Iteración imputación:   1
variable_independiente_1:   16.7
</t>
      </text>
    </comment>
    <comment ref="M14" authorId="2" shapeId="0">
      <text>
        <t>[Verificación] R ≈ (h · 3600 · IAS) / 1000
[Fórmula] Δrel = |A − B| / max(|A|, |B|, 1e−12) con A=R, B=(h·3600·V)/1000
[Normalización] Escala el error a porcentaje relativo de la magnitud observada.
[Sustitución] |25 − (2·3600·16.7)/1000| / max(|25|, |120.24|, 1e−12)
[Resultado] Δrel=0.792083 (79.21%); severidad: no_confiable</t>
      </text>
    </comment>
    <comment ref="N14" authorId="2" shapeId="0">
      <text>
        <t>[Verificación] R ≈ (h · 3600 · IAS) / 1000
[Fórmula] Δrel = |A − B| / max(|A|, |B|, 1e−12) con A=R, B=(h·3600·V)/1000
[Normalización] Escala el error a porcentaje relativo de la magnitud observada.
[Sustitución] |25 − (2·3600·16.7)/1000| / max(|25|, |120.24|, 1e−12)
[Resultado] Δrel=0.792083 (79.21%); severidad: no_confiable</t>
      </text>
    </comment>
    <comment ref="P14" authorId="1" shapeId="0">
      <text>
        <t xml:space="preserve">
=== CORRELATION DETAILS ===
Aeronave:   Mantis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4" authorId="1" shapeId="0">
      <text>
        <t xml:space="preserve">
=== CORRELATION DETAILS ===
Aeronave:   Mantis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4" authorId="1" shapeId="0">
      <text>
        <t xml:space="preserve">
=== CORRELATION DETAILS ===
Aeronave:   Mantis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4" authorId="2" shapeId="0">
      <text>
        <t>[Verificación] AR ≈ b / c
[Fórmula] Δrel = |A − B| / max(|A|, |B|, 1e−12) con A=AR, B=b/c
[Normalización] Error relativo simétrico para escalas comparables.
[Sustitución] |15.321 − (2.1/0.324335)| / max(|15.321|, |6.47479|, 1e−12)
[Resultado] Δrel=0.577393 (57.74%); severidad: no_confiable</t>
      </text>
    </comment>
    <comment ref="T14" authorId="1" shapeId="0">
      <text>
        <t>=== IMPUTED VALUE ===
Aeronave:   Mantis
Parámetro:   Cuerda
Valor imputado:   0.324
Confianza:   0.272
Método predictivo:   Correlacion
Iteración imputación:   1
variable_independiente_1:   25.6
=== CORRELATION DETAILS ===
Aeronave:   Mantis
Parámetro:   Cuerda
Valor imputado:   0.324
Confianza:   0.272
Tipo Modelo:   poly-1
Predictores:   Velocidad máxima (m/s IAS)
Coeficientes: [0.055, -0.000871]
Peso de predictores: [1]
Aeronaves entrenamiento: [Stalker XE, Stalker VXE30 Fuel Cell, Stalker VXE30 Battery, Aerosonde Mk. 4.7 Fixed Wing, Aerosonde Mk. 4.8 Fixed wing]
k:   5
Penalizacion_k:   0.272
Corr:   1
MAPE:   0.000
R2:   1
Confianza_LOOCV:   0.166
k_LOOCV:   5
Corr_LOOCV:   0.609
MAPE_LOOCV:   5.13
R2_LOOCV:   0.56
Método predictivo:   Correlacion
Advertencia:   Advertencia: El MAPE de validación es más de 5 veces mayor que el de entrenamiento (5.13% vs 0.00%). Posible sobreajuste.; 🟡 Modelo no robusto
Familia:   F2
Iteración imputación:   1
variable_independiente_1:   25.6
[Verificación] AR ≈ b / c
[Fórmula] Δrel = |A − B| / max(|A|, |B|, 1e−12) con A=AR, B=b/c
[Normalización] Error relativo simétrico para escalas comparables.
[Sustitución] |15.321 − (2.1/0.324335)| / max(|15.321|, |6.47479|, 1e−12)
[Resultado] Δrel=0.577393 (57.74%); severidad: no_confiable</t>
      </text>
    </comment>
    <comment ref="U14" authorId="1" shapeId="0">
      <text>
        <t xml:space="preserve">
=== CORRELATION DETAILS ===
Aeronave:   Mantis
Parámetro:   Payload
Valor imputado:   nan
Confianza:   0
Corr:   0
k:   0
Tipo Modelo:   n/a
Predictores:   
Penalizacion_k:   0
Familia:   sin filtro
Método predictivo:   Correlacion
Advertencia:   ❌ No se permite imputación sin filtro para esta celda.
Iteración imputación:   3
</t>
      </text>
    </comment>
    <comment ref="V14" authorId="1" shapeId="0">
      <text>
        <t xml:space="preserve">
=== CORRELATION DETAILS ===
Aeronave:   Mantis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4" authorId="2" shapeId="0">
      <text>
        <t>[Verificación] R ≈ (h · 3600 · IAS) / 1000
[Fórmula] Δrel = |A − B| / max(|A|, |B|, 1e−12) con A=R, B=(h·3600·V)/1000
[Normalización] Escala el error a porcentaje relativo de la magnitud observada.
[Sustitución] |25 − (2·3600·16.7)/1000| / max(|25|, |120.24|, 1e−12)
[Resultado] Δrel=0.792083 (79.21%); severidad: no_confiable</t>
      </text>
    </comment>
    <comment ref="X14" authorId="1" shapeId="0">
      <text>
        <t xml:space="preserve">
=== CORRELATION DETAILS ===
Aeronave:   Mantis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4" authorId="1" shapeId="0">
      <text>
        <t xml:space="preserve">
=== CORRELATION DETAILS ===
Aeronave:   Mantis
Parámetro:   Peso frame
Valor imputado:   nan
Confianza:   0
Corr:   0
k:   0
Tipo Modelo:   n/a
Predictores:   
Penalizacion_k:   0
Familia:   sin filtro
Método predictivo:   Correlacion
Advertencia:   ❌ No se permite imputación sin filtro para esta celda.
Iteración imputación:   3
</t>
      </text>
    </comment>
    <comment ref="Z14" authorId="1" shapeId="0">
      <text>
        <t xml:space="preserve">
=== CORRELATION DETAILS ===
Aeronave:   Mantis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4" authorId="1" shapeId="0">
      <text>
        <t xml:space="preserve">
=== CORRELATION DETAILS ===
Aeronave:   Mantis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14" authorId="1" shapeId="0">
      <text>
        <t xml:space="preserve">
=== CORRELATION DETAILS ===
Aeronave:   Mantis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4" authorId="1" shapeId="0">
      <text>
        <t xml:space="preserve">
=== CORRELATION DETAILS ===
Aeronave:   Mantis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4" authorId="1" shapeId="0">
      <text>
        <t xml:space="preserve">
=== CORRELATION DETAILS ===
Aeronave:   Mantis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4" authorId="1" shapeId="0">
      <text>
        <t xml:space="preserve">
=== CORRELATION DETAILS ===
Aeronave:   Mantis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4" authorId="1" shapeId="0">
      <text>
        <t xml:space="preserve">
=== CORRELATION DETAILS ===
Aeronave:   Mantis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4" authorId="1" shapeId="0">
      <text>
        <t xml:space="preserve">
=== CORRELATION DETAILS ===
Aeronave:   Mantis
Parámetro:   Consumo
Valor imputado:   nan
Confianza:   0
Corr:   0
k:   0
Tipo Modelo:   n/a
Predictores:   
Penalizacion_k:   0
Familia:   sin filtro
Método predictivo:   Correlacion
Advertencia:   ❌ No se permite imputación sin filtro para esta celda.
Iteración imputación:   3
</t>
      </text>
    </comment>
    <comment ref="AI14" authorId="1" shapeId="0">
      <text>
        <t xml:space="preserve">
=== CORRELATION DETAILS ===
Aeronave:   Mantis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4" authorId="1" shapeId="0">
      <text>
        <t xml:space="preserve">
=== CORRELATION DETAILS ===
Aeronave:   Mantis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4" authorId="1" shapeId="0">
      <text>
        <t xml:space="preserve">
=== CORRELATION DETAILS ===
Aeronave:   Mantis
Parámetro:   Precio
Valor imputado:   nan
Confianza:   0
Corr:   0
k:   0
Tipo Modelo:   n/a
Predictores:   
Penalizacion_k:   0
Familia:   sin filtro
Método predictivo:   Correlacion
Advertencia:   ❌ No se permite imputación sin filtro para esta celda.
Iteración imputación:   3
</t>
      </text>
    </comment>
    <comment ref="AL14" authorId="1" shapeId="0">
      <text>
        <t xml:space="preserve">
=== CORRELATION DETAILS ===
Aeronave:   Mantis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5" authorId="1" shapeId="0">
      <text>
        <t xml:space="preserve">
=== CORRELATION DETAILS ===
Aeronave:   ScanEagle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5" authorId="1" shapeId="0">
      <text>
        <t xml:space="preserve">
=== CORRELATION DETAILS ===
Aeronave:   ScanEagle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5" authorId="1" shapeId="0">
      <text>
        <t xml:space="preserve">=== CÁLCULO APLICADO ===
formula:   TAS_5000 = IAS / sqrt(σ_5000)
inputs:
    IAS:   28
    σ_5000:   0.862
</t>
      </text>
    </comment>
    <comment ref="F15" authorId="1" shapeId="0">
      <text>
        <t xml:space="preserve">
=== CORRELATION DETAILS ===
Aeronave:   ScanEagle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5" authorId="1" shapeId="0">
      <text>
        <t xml:space="preserve">=== IMPUTED VALUE ===
Aeronave:   ScanEagle
Parámetro:   Área del ala
Valor imputado:   1.17
Confianza:   0.272
Método predictivo:   Correlacion
Iteración imputación:   1
variable_independiente_1:   102
=== CORRELATION DETAILS ===
Aeronave:   ScanEagle
Parámetro:   Área del ala
Valor imputado:   1.17
Confianza:   0.272
Tipo Modelo:   poly-1
Predictores:   Rango de comunicación
Coeficientes: [0.00161, 0.000]
Peso de predictores: [1]
Aeronaves entrenamiento: [Stalker XE, Stalker VXE30 Fuel Cell, Stalker VXE30 Battery, Aerosonde Mk. 4.7 Fixed Wing, Aerosonde Mk. 4.8 Fixed wing]
k:   5
Penalizacion_k:   0.272
Corr:   1
MAPE:   0
R2:   1
Confianza_LOOCV:   0.262
k_LOOCV:   5
Corr_LOOCV:   0.962
MAPE_LOOCV:   1.05
R2_LOOCV:   0.994
Método predictivo:   Correlacion
Advertencia:   Advertencia: El MAPE de validación es más de 5 veces mayor que el de entrenamiento (1.05% vs 0.00%). Posible sobreajuste.; 🟢 Modelo robusto
Familia:   F0
Iteración imputación:   1
variable_independiente_1:   102
</t>
      </text>
    </comment>
    <comment ref="H15" authorId="1" shapeId="0">
      <text>
        <t>=== IMPUTED VALUE ===
Aeronave:   ScanEagle
Parámetro:   Relación de aspecto del ala
Valor imputado:   13.2
Confianza:   0.272
Método predictivo:   Correlacion
Iteración imputación:   1
variable_independiente_1:   18
=== CORRELATION DETAILS ===
Aeronave:   ScanEagle
Parámetro:   Relación de aspecto del ala
Valor imputado:   13.2
Confianza:   0.272
Tipo Modelo:   poly-1
Predictores:   Autonomía de la aeronave
Coeficientes: [0.176, -0.0149]
Peso de predictores: [1]
Aeronaves entrenamiento: [Stalker XE, Stalker VXE30 Fuel Cell, Stalker VXE30 Battery, Aerosonde Mk. 4.7 Fixed Wing, Aerosonde Mk. 4.8 Fixed wing]
k:   5
Penalizacion_k:   0.272
Corr:   0.999
MAPE:   0.0329
R2:   1
Confianza_LOOCV:   0.257
k_LOOCV:   5
Corr_LOOCV:   0.945
MAPE_LOOCV:   0.94
R2_LOOCV:   0.953
Método predictivo:   Correlacion
Advertencia:   Advertencia: El MAPE de validación es más de 5 veces mayor que el de entrenamiento (0.94% vs 0.03%). Posible sobreajuste.; 🟢 Modelo robusto
Familia:   F0
Iteración imputación:   1
variable_independiente_1:   18
[Verificación] AR ≈ b / c
[Fórmula] Δrel = |A − B| / max(|A|, |B|, 1e−12) con A=AR, B=b/c
[Normalización] Error relativo simétrico para escalas comparables.
[Sustitución] |13.1973 − (3.1/0.320719)| / max(|13.1973|, |9.6658|, 1e−12)
[Resultado] Δrel=0.267593 (26.76%); severidad: no_confiable</t>
      </text>
    </comment>
    <comment ref="J15" authorId="1" shapeId="0">
      <text>
        <t xml:space="preserve">
=== CORRELATION DETAILS ===
Aeronave:   ScanEagle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5" authorId="1" shapeId="0">
      <text>
        <t xml:space="preserve">=== IMPUTED VALUE ===
Aeronave:   ScanEagle
Parámetro:   Ancho del fuselaje
Valor imputado:   0.261
Confianza:   0.261
Método predictivo:   Correlacion
Iteración imputación:   1
variable_independiente_1:   18
=== CORRELATION DETAILS ===
Aeronave:   ScanEagle
Parámetro:   Ancho del fuselaje
Valor imputado:   0.261
Confianza:   0.261
Tipo Modelo:   poly-1
Predictores:   Autonomía de la aeronave
Coeficientes: [-0.00218, 0.000296]
Peso de predictores: [1]
Aeronaves entrenamiento: [Stalker XE, Stalker VXE30 Fuel Cell, Stalker VXE30 Battery, Aerosonde Mk. 4.7 Fixed Wing, Aerosonde Mk. 4.8 Fixed wing]
k:   5
Penalizacion_k:   0.272
Corr:   0.96
MAPE:   1.07
R2:   0.991
Confianza_LOOCV:   0.234
k_LOOCV:   5
Corr_LOOCV:   0.86
MAPE_LOOCV:   3.33
R2_LOOCV:   0.941
Método predictivo:   Correlacion
Advertencia:   🟢 Modelo robusto
Familia:   F0
Iteración imputación:   1
variable_independiente_1:   18
</t>
      </text>
    </comment>
    <comment ref="M15" authorId="1" shapeId="0">
      <text>
        <t xml:space="preserve">=== CÁLCULO APLICADO ===
formula:   R[km] = h*3600*V/1000
inputs:
    Autonomía[h]:   18
    Velocidad[m/s]:   28
</t>
      </text>
    </comment>
    <comment ref="P15" authorId="1" shapeId="0">
      <text>
        <t xml:space="preserve">
=== CORRELATION DETAILS ===
Aeronave:   ScanEagle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5" authorId="1" shapeId="0">
      <text>
        <t xml:space="preserve">
=== CORRELATION DETAILS ===
Aeronave:   ScanEagle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5" authorId="1" shapeId="0">
      <text>
        <t xml:space="preserve">
=== CORRELATION DETAILS ===
Aeronave:   ScanEagle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5" authorId="2" shapeId="0">
      <text>
        <t>[Verificación] AR ≈ b / c
[Fórmula] Δrel = |A − B| / max(|A|, |B|, 1e−12) con A=AR, B=b/c
[Normalización] Error relativo simétrico para escalas comparables.
[Sustitución] |13.1973 − (3.1/0.320719)| / max(|13.1973|, |9.6658|, 1e−12)
[Resultado] Δrel=0.267593 (26.76%); severidad: no_confiable</t>
      </text>
    </comment>
    <comment ref="T15" authorId="1" shapeId="0">
      <text>
        <t>=== IMPUTED VALUE ===
Aeronave:   ScanEagle
Parámetro:   Cuerda
Valor imputado:   0.321
Confianza:   0.272
Método predictivo:   Correlacion
Iteración imputación:   1
variable_independiente_1:   102
=== CORRELATION DETAILS ===
Aeronave:   ScanEagle
Parámetro:   Cuerda
Valor imputado:   0.321
Confianza:   0.272
Tipo Modelo:   poly-1
Predictores:   Rango de comunicación
Coeficientes: [0.00406, -0.000]
Peso de predictores: [1]
Aeronaves entrenamiento: [Stalker XE, Stalker VXE30 Fuel Cell, Stalker VXE30 Battery, Aerosonde Mk. 4.7 Fixed Wing, Aerosonde Mk. 4.8 Fixed wing]
k:   5
Penalizacion_k:   0.272
Corr:   1
MAPE:   0.000
R2:   1
Confianza_LOOCV:   0.193
k_LOOCV:   5
Corr_LOOCV:   0.711
MAPE_LOOCV:   4.22
R2_LOOCV:   0.702
Método predictivo:   Correlacion
Advertencia:   Advertencia: El MAPE de validación es más de 5 veces mayor que el de entrenamiento (4.22% vs 0.00%). Posible sobreajuste.; 🟢 Modelo robusto
Familia:   F0
Iteración imputación:   1
variable_independiente_1:   102
[Verificación] AR ≈ b / c
[Fórmula] Δrel = |A − B| / max(|A|, |B|, 1e−12) con A=AR, B=b/c
[Normalización] Error relativo simétrico para escalas comparables.
[Sustitución] |13.1973 − (3.1/0.320719)| / max(|13.1973|, |9.6658|, 1e−12)
[Resultado] Δrel=0.267593 (26.76%); severidad: no_confiable</t>
      </text>
    </comment>
    <comment ref="V15" authorId="1" shapeId="0">
      <text>
        <t xml:space="preserve">
=== CORRELATION DETAILS ===
Aeronave:   ScanEagle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5" authorId="1" shapeId="0">
      <text>
        <t xml:space="preserve">
=== CORRELATION DETAILS ===
Aeronave:   ScanEagle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5" authorId="1" shapeId="0">
      <text>
        <t xml:space="preserve">
=== CORRELATION DETAILS ===
Aeronave:   ScanEagle
Parámetro:   Peso frame
Valor imputado:   nan
Confianza:   0
Corr:   0
k:   0
Tipo Modelo:   n/a
Predictores:   
Penalizacion_k:   0
Familia:   sin filtro
Método predictivo:   Correlacion
Advertencia:   ❌ No se permite imputación sin filtro para esta celda.
Iteración imputación:   3
</t>
      </text>
    </comment>
    <comment ref="Z15" authorId="1" shapeId="0">
      <text>
        <t xml:space="preserve">
=== CORRELATION DETAILS ===
Aeronave:   ScanEagle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5" authorId="1" shapeId="0">
      <text>
        <t xml:space="preserve">=== CÁLCULO APLICADO ===
formula:   W0 = MTOW - Payload
inputs:
    MTOW:   26.5
    Payload:   5
</t>
      </text>
    </comment>
    <comment ref="AB15" authorId="1" shapeId="0">
      <text>
        <t xml:space="preserve">
=== CORRELATION DETAILS ===
Aeronave:   ScanEagle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5" authorId="1" shapeId="0">
      <text>
        <t xml:space="preserve">
=== CORRELATION DETAILS ===
Aeronave:   ScanEagle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5" authorId="1" shapeId="0">
      <text>
        <t xml:space="preserve">
=== CORRELATION DETAILS ===
Aeronave:   ScanEagle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5" authorId="1" shapeId="0">
      <text>
        <t xml:space="preserve">
=== CORRELATION DETAILS ===
Aeronave:   ScanEagle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5" authorId="1" shapeId="0">
      <text>
        <t xml:space="preserve">
=== CORRELATION DETAILS ===
Aeronave:   ScanEagle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5" authorId="1" shapeId="0">
      <text>
        <t xml:space="preserve">
=== CORRELATION DETAILS ===
Aeronave:   ScanEagle
Parámetro:   Consumo
Valor imputado:   nan
Confianza:   0
Corr:   0
k:   0
Tipo Modelo:   n/a
Predictores:   
Penalizacion_k:   0
Familia:   sin filtro
Método predictivo:   Correlacion
Advertencia:   ❌ No se permite imputación sin filtro para esta celda.
Iteración imputación:   3
</t>
      </text>
    </comment>
    <comment ref="AI15" authorId="1" shapeId="0">
      <text>
        <t xml:space="preserve">
=== CORRELATION DETAILS ===
Aeronave:   ScanEagle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5" authorId="1" shapeId="0">
      <text>
        <t xml:space="preserve">
=== CORRELATION DETAILS ===
Aeronave:   ScanEagle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5" authorId="1" shapeId="0">
      <text>
        <t xml:space="preserve">
=== CORRELATION DETAILS ===
Aeronave:   ScanEagle
Parámetro:   Precio
Valor imputado:   nan
Confianza:   0
Corr:   0
k:   0
Tipo Modelo:   n/a
Predictores:   
Penalizacion_k:   0
Familia:   sin filtro
Método predictivo:   Correlacion
Advertencia:   ❌ No se permite imputación sin filtro para esta celda.
Iteración imputación:   3
</t>
      </text>
    </comment>
    <comment ref="AL15" authorId="1" shapeId="0">
      <text>
        <t xml:space="preserve">
=== CORRELATION DETAILS ===
Aeronave:   ScanEagle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6" authorId="1" shapeId="0">
      <text>
        <t xml:space="preserve">
=== CORRELATION DETAILS ===
Aeronave:   Integrator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6" authorId="1" shapeId="0">
      <text>
        <t xml:space="preserve">
=== CORRELATION DETAILS ===
Aeronave:   Integrator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6" authorId="1" shapeId="0">
      <text>
        <t xml:space="preserve">=== CÁLCULO APLICADO ===
formula:   TAS_5000 = IAS / sqrt(σ_5000)
inputs:
    IAS:   28.3
    σ_5000:   0.862
</t>
      </text>
    </comment>
    <comment ref="F16" authorId="1" shapeId="0">
      <text>
        <t xml:space="preserve">
=== CORRELATION DETAILS ===
Aeronave:   Integrator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6" authorId="1" shapeId="0">
      <text>
        <t xml:space="preserve">=== IMPUTED VALUE ===
Aeronave:   Integrator
Parámetro:   Área del ala
Valor imputado:   1.1
Confianza:   0.272
Método predictivo:   Correlacion
Iteración imputación:   1
variable_independiente_1:   92.6
=== CORRELATION DETAILS ===
Aeronave:   Integrator
Parámetro:   Área del ala
Valor imputado:   1.1
Confianza:   0.272
Tipo Modelo:   poly-1
Predictores:   Rango de comunicación
Coeficientes: [0.00161, 0.000]
Peso de predictores: [1]
Aeronaves entrenamiento: [Stalker XE, Stalker VXE30 Fuel Cell, Stalker VXE30 Battery, Aerosonde Mk. 4.7 Fixed Wing, Aerosonde Mk. 4.8 Fixed wing]
k:   5
Penalizacion_k:   0.272
Corr:   1
MAPE:   0
R2:   1
Confianza_LOOCV:   0.262
k_LOOCV:   5
Corr_LOOCV:   0.962
MAPE_LOOCV:   1.05
R2_LOOCV:   0.994
Método predictivo:   Correlacion
Advertencia:   Advertencia: El MAPE de validación es más de 5 veces mayor que el de entrenamiento (1.05% vs 0.00%). Posible sobreajuste.; 🟢 Modelo robusto
Familia:   F0
Iteración imputación:   1
variable_independiente_1:   92.6
</t>
      </text>
    </comment>
    <comment ref="H16" authorId="1" shapeId="0">
      <text>
        <t>=== IMPUTED VALUE ===
Aeronave:   Integrator
Parámetro:   Relación de aspecto del ala
Valor imputado:   14.9
Confianza:   0.623
Método predictivo:   Correlacion
Iteración imputación:   2
variable_independiente_1:   74.8
=== CORRELATION DETAILS ===
Aeronave:   Integrator
Parámetro:   Relación de aspecto del ala
Valor imputado:   14.9
Confianza:   0.623
Tipo Modelo:   poly-1
Predictores:   Peso máximo al despegue (MTOW)
Coeficientes: [-0.296, 0.00313]
Peso de predictores: [1]
Aeronaves entrenamiento: [Stalker XE, Stalker VXE30 Fuel Cell, Stalker VXE30 Battery, Aerosonde Mk. 4.7 Fixed Wing, Aerosonde Mk. 4.8 Fixed wing, Fulmar X, Orbiter 4, ScanEagle, Integrator Extended Range, ScanEagle 3, RQ Nan 21A Blackjack]
k:   11
Penalizacion_k:   0.764
Corr:   0.815
MAPE:   3.1
R2:   0.837
Confianza_LOOCV:   0.442
k_LOOCV:   11
Corr_LOOCV:   0.579
MAPE_LOOCV:   4.95
R2_LOOCV:   0.488
Método predictivo:   Correlacion
Advertencia:   🟡 Modelo no robusto
Familia:   F0
Iteración imputación:   2
variable_independiente_1:   74.8
[Verificación] AR ≈ b / c
[Fórmula] Δrel = |A − B| / max(|A|, |B|, 1e−12) con A=AR, B=b/c
[Normalización] Error relativo simétrico para escalas comparables.
[Sustitución] |14.9261 − (4.8/0.306722)| / max(|14.9261|, |15.6494|, 1e−12)
[Resultado] Δrel=0.0462184 (4.62%); severidad: ajuste</t>
      </text>
    </comment>
    <comment ref="J16" authorId="1" shapeId="0">
      <text>
        <t xml:space="preserve">
=== CORRELATION DETAILS ===
Aeronave:   Integrator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6" authorId="1" shapeId="0">
      <text>
        <t xml:space="preserve">=== IMPUTED VALUE ===
Aeronave:   Integrator
Parámetro:   Ancho del fuselaje
Valor imputado:   0.215
Confianza:   0.684
Método predictivo:   Correlacion
Iteración imputación:   3
variable_independiente_1:   14.9
=== CORRELATION DETAILS ===
Aeronave:   Integrator
Parámetro:   Ancho del fuselaje
Valor imputado:   0.215
Confianza:   0.684
Tipo Modelo:   pot-1
Predictores:   Relación de aspecto del ala
Coeficientes: [-1.41]
Peso de predictores: [1]
Aeronaves entrenamiento: [Stalker XE, Stalker VXE30 Fuel Cell, Stalker VXE30 Battery, Aerosonde Mk. 4.7 Fixed Wing, Aerosonde Mk. 4.8 Fixed wing, Fulmar X, Orbiter 4, ScanEagle, Integrator Extended Range, ScanEagle 3, RQ Nan 21A Blackjack]
k:   11
Penalizacion_k:   0.764
Corr:   0.895
MAPE:   2.38
R2:   0.948
Confianza_LOOCV:   0.659
k_LOOCV:   11
Corr_LOOCV:   0.863
MAPE_LOOCV:   2.94
R2_LOOCV:   0.922
Método predictivo:   Correlacion
Advertencia:   🟢 Modelo robusto
Familia:   F0
Iteración imputación:   3
variable_independiente_1:   14.9
</t>
      </text>
    </comment>
    <comment ref="M16" authorId="1" shapeId="0">
      <text>
        <t xml:space="preserve">=== CÁLCULO APLICADO ===
formula:   R[km] = h*3600*V/1000
inputs:
    Autonomía[h]:   24
    Velocidad[m/s]:   28.3
</t>
      </text>
    </comment>
    <comment ref="P16" authorId="1" shapeId="0">
      <text>
        <t xml:space="preserve">
=== CORRELATION DETAILS ===
Aeronave:   Integrator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6" authorId="1" shapeId="0">
      <text>
        <t xml:space="preserve">
=== CORRELATION DETAILS ===
Aeronave:   Integrator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6" authorId="1" shapeId="0">
      <text>
        <t xml:space="preserve">
=== CORRELATION DETAILS ===
Aeronave:   Integrator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6" authorId="2" shapeId="0">
      <text>
        <t>[Verificación] AR ≈ b / c
[Fórmula] Δrel = |A − B| / max(|A|, |B|, 1e−12) con A=AR, B=b/c
[Normalización] Error relativo simétrico para escalas comparables.
[Sustitución] |14.9261 − (4.8/0.306722)| / max(|14.9261|, |15.6494|, 1e−12)
[Resultado] Δrel=0.0462184 (4.62%); severidad: ajuste</t>
      </text>
    </comment>
    <comment ref="T16" authorId="1" shapeId="0">
      <text>
        <t>=== IMPUTED VALUE ===
Aeronave:   Integrator
Parámetro:   Cuerda
Valor imputado:   0.307
Confianza:   0.272
Método predictivo:   Correlacion
Iteración imputación:   1
variable_independiente_1:   2.5
=== CORRELATION DETAILS ===
Aeronave:   Integrator
Parámetro:   Cuerda
Valor imputado:   0.307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F0
Iteración imputación:   1
variable_independiente_1:   2.5
[Verificación] AR ≈ b / c
[Fórmula] Δrel = |A − B| / max(|A|, |B|, 1e−12) con A=AR, B=b/c
[Normalización] Error relativo simétrico para escalas comparables.
[Sustitución] |14.9261 − (4.8/0.306722)| / max(|14.9261|, |15.6494|, 1e−12)
[Resultado] Δrel=0.0462184 (4.62%); severidad: ajuste</t>
      </text>
    </comment>
    <comment ref="V16" authorId="1" shapeId="0">
      <text>
        <t xml:space="preserve">
=== CORRELATION DETAILS ===
Aeronave:   Integrator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6" authorId="1" shapeId="0">
      <text>
        <t xml:space="preserve">
=== CORRELATION DETAILS ===
Aeronave:   Integrator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6" authorId="1" shapeId="0">
      <text>
        <t xml:space="preserve">
=== CORRELATION DETAILS ===
Aeronave:   Integrator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16" authorId="1" shapeId="0">
      <text>
        <t xml:space="preserve">
=== CORRELATION DETAILS ===
Aeronave:   Integrator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6" authorId="1" shapeId="0">
      <text>
        <t xml:space="preserve">=== CÁLCULO APLICADO ===
formula:   W0 = MTOW - Payload
inputs:
    MTOW:   74.8
    Payload:   18
</t>
      </text>
    </comment>
    <comment ref="AB16" authorId="1" shapeId="0">
      <text>
        <t xml:space="preserve">
=== CORRELATION DETAILS ===
Aeronave:   Integrator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6" authorId="1" shapeId="0">
      <text>
        <t xml:space="preserve">
=== CORRELATION DETAILS ===
Aeronave:   Integrator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6" authorId="1" shapeId="0">
      <text>
        <t xml:space="preserve">
=== CORRELATION DETAILS ===
Aeronave:   Integrator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6" authorId="1" shapeId="0">
      <text>
        <t xml:space="preserve">
=== CORRELATION DETAILS ===
Aeronave:   Integrator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6" authorId="1" shapeId="0">
      <text>
        <t xml:space="preserve">
=== CORRELATION DETAILS ===
Aeronave:   Integrator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6" authorId="1" shapeId="0">
      <text>
        <t xml:space="preserve">
=== CORRELATION DETAILS ===
Aeronave:   Integrator
Parámetro:   Consumo
Valor imputado:   nan
Confianza:   0
Corr:   0
k:   0
Tipo Modelo:   n/a
Predictores:   
Penalizacion_k:   0
Familia:   sin filtro
Método predictivo:   Correlacion
Advertencia:   ❌ No se permite imputación sin filtro para esta celda.
Iteración imputación:   3
</t>
      </text>
    </comment>
    <comment ref="AI16" authorId="1" shapeId="0">
      <text>
        <t xml:space="preserve">
=== CORRELATION DETAILS ===
Aeronave:   Integrator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6" authorId="1" shapeId="0">
      <text>
        <t xml:space="preserve">
=== CORRELATION DETAILS ===
Aeronave:   Integrator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6" authorId="1" shapeId="0">
      <text>
        <t xml:space="preserve">
=== CORRELATION DETAILS ===
Aeronave:   Integrator
Parámetro:   Precio
Valor imputado:   nan
Confianza:   0
Corr:   0
k:   0
Tipo Modelo:   n/a
Predictores:   
Penalizacion_k:   0
Familia:   sin filtro
Método predictivo:   Correlacion
Advertencia:   ❌ No se permite imputación sin filtro para esta celda.
Iteración imputación:   3
</t>
      </text>
    </comment>
    <comment ref="AL16" authorId="1" shapeId="0">
      <text>
        <t xml:space="preserve">
=== CORRELATION DETAILS ===
Aeronave:   Integrator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7" authorId="1" shapeId="0">
      <text>
        <t xml:space="preserve">
=== CORRELATION DETAILS ===
Aeronave:   Integrator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17" authorId="1" shapeId="0">
      <text>
        <t xml:space="preserve">
=== CORRELATION DETAILS ===
Aeronave:   Integrator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17" authorId="1" shapeId="0">
      <text>
        <t xml:space="preserve">
=== CORRELATION DETAILS ===
Aeronave:   Integrator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7" authorId="1" shapeId="0">
      <text>
        <t xml:space="preserve">
=== CORRELATION DETAILS ===
Aeronave:   Integrator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7" authorId="1" shapeId="0">
      <text>
        <t xml:space="preserve">=== IMPUTED VALUE ===
Aeronave:   Integrator VTOL
Parámetro:   Área del ala
Valor imputado:   2.04
Confianza:   0.246
Método predictivo:   Correlacion
Iteración imputación:   1
variable_independiente_1:   18
=== CORRELATION DETAILS ===
Aeronave:   Integrator VTOL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text>
    </comment>
    <comment ref="H17" authorId="1" shapeId="0">
      <text>
        <t xml:space="preserve">
=== CORRELATION DETAILS ===
Aeronave:   Integrator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17" authorId="1" shapeId="0">
      <text>
        <t xml:space="preserve">
=== CORRELATION DETAILS ===
Aeronave:   Integrator VTOL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17" authorId="1" shapeId="0">
      <text>
        <t xml:space="preserve">
=== CORRELATION DETAILS ===
Aeronave:   Integrator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7" authorId="1" shapeId="0">
      <text>
        <t xml:space="preserve">
=== CORRELATION DETAILS ===
Aeronave:   Integrator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7" authorId="1" shapeId="0">
      <text>
        <t xml:space="preserve">
=== CORRELATION DETAILS ===
Aeronave:   Integrator VTOL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17" authorId="1" shapeId="0">
      <text>
        <t xml:space="preserve">=== IMPUTED VALUE ===
Aeronave:   Integrator VTOL
Parámetro:   Velocidad máxima (m/s IAS)
Valor imputado:   37.4
Confianza:   0.616
Método predictivo:   Correlacion
Iteración imputación:   1
variable_independiente_1:   75
=== CORRELATION DETAILS ===
Aeronave:   Integrator VTOL
Parámetro:   Velocidad máxima (m/s IAS)
Valor imputado:   37.4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75
</t>
      </text>
    </comment>
    <comment ref="P17" authorId="1" shapeId="0">
      <text>
        <t xml:space="preserve">
=== CORRELATION DETAILS ===
Aeronave:   Integrator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7" authorId="1" shapeId="0">
      <text>
        <t xml:space="preserve">
=== CORRELATION DETAILS ===
Aeronave:   Integrator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7" authorId="1" shapeId="0">
      <text>
        <t xml:space="preserve">
=== CORRELATION DETAILS ===
Aeronave:   Integrator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7" authorId="1" shapeId="0">
      <text>
        <t xml:space="preserve">
=== CORRELATION DETAILS ===
Aeronave:   Integrator VTOL
Parámetro:   Envergadura
Valor imputado:   nan
Confianza:   0
Corr:   0
k:   0
Tipo Modelo:   n/a
Predictores:   
Penalizacion_k:   0
Familia:   sin filtro
Método predictivo:   Correlacion
Advertencia:   ❌ No se permite imputación sin filtro para esta celda.
Iteración imputación:   3
</t>
      </text>
    </comment>
    <comment ref="T17" authorId="1" shapeId="0">
      <text>
        <t xml:space="preserve">
=== CORRELATION DETAILS ===
Aeronave:   Integrator VTOL
Parámetro:   Cuerda
Valor imputado:   nan
Confianza:   0
Corr:   0
k:   0
Tipo Modelo:   n/a
Predictores:   
Penalizacion_k:   0
Familia:   sin filtro
Método predictivo:   Correlacion
Advertencia:   ❌ No se permite imputación sin filtro para esta celda.
Iteración imputación:   3
</t>
      </text>
    </comment>
    <comment ref="V17" authorId="1" shapeId="0">
      <text>
        <t xml:space="preserve">
=== CORRELATION DETAILS ===
Aeronave:   Integrator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7" authorId="1" shapeId="0">
      <text>
        <t xml:space="preserve">
=== CORRELATION DETAILS ===
Aeronave:   Integrator VTOL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17" authorId="1" shapeId="0">
      <text>
        <t xml:space="preserve">
=== CORRELATION DETAILS ===
Aeronave:   Integrator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7" authorId="1" shapeId="0">
      <text>
        <t xml:space="preserve">
=== CORRELATION DETAILS ===
Aeronave:   Integrator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17" authorId="1" shapeId="0">
      <text>
        <t xml:space="preserve">
=== CORRELATION DETAILS ===
Aeronave:   Integrator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7" authorId="1" shapeId="0">
      <text>
        <t xml:space="preserve">=== CÁLCULO APLICADO ===
formula:   W0 = MTOW - Payload
inputs:
    MTOW:   75
    Payload:   18
</t>
      </text>
    </comment>
    <comment ref="AB17" authorId="1" shapeId="0">
      <text>
        <t xml:space="preserve">
=== CORRELATION DETAILS ===
Aeronave:   Integrator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17" authorId="1" shapeId="0">
      <text>
        <t xml:space="preserve">
=== CORRELATION DETAILS ===
Aeronave:   Integrator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17" authorId="1" shapeId="0">
      <text>
        <t xml:space="preserve">
=== CORRELATION DETAILS ===
Aeronave:   Integrator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7" authorId="1" shapeId="0">
      <text>
        <t xml:space="preserve">
=== CORRELATION DETAILS ===
Aeronave:   Integrator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7" authorId="1" shapeId="0">
      <text>
        <t xml:space="preserve">
=== CORRELATION DETAILS ===
Aeronave:   Integrator VTOL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17" authorId="1" shapeId="0">
      <text>
        <t xml:space="preserve">
=== CORRELATION DETAILS ===
Aeronave:   Integrator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17" authorId="1" shapeId="0">
      <text>
        <t xml:space="preserve">
=== CORRELATION DETAILS ===
Aeronave:   Integrator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7" authorId="1" shapeId="0">
      <text>
        <t xml:space="preserve">
=== CORRELATION DETAILS ===
Aeronave:   Integrator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7" authorId="1" shapeId="0">
      <text>
        <t xml:space="preserve">
=== CORRELATION DETAILS ===
Aeronave:   Integrator VTOL
Parámetro:   Precio
Valor imputado:   nan
Confianza:   0
Corr:   0
k:   0
Tipo Modelo:   n/a
Predictores:   
Penalizacion_k:   0
Familia:   sin filtro
Método predictivo:   Correlacion
Advertencia:   ❌ No se permite imputación sin filtro para esta celda.
Iteración imputación:   3
</t>
      </text>
    </comment>
    <comment ref="AL17" authorId="1" shapeId="0">
      <text>
        <t xml:space="preserve">
=== CORRELATION DETAILS ===
Aeronave:   Integrator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8" authorId="1" shapeId="0">
      <text>
        <t xml:space="preserve">
=== CORRELATION DETAILS ===
Aeronave:   Integrator Extended Range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8" authorId="1" shapeId="0">
      <text>
        <t xml:space="preserve">
=== CORRELATION DETAILS ===
Aeronave:   Integrator Extended Range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8" authorId="1" shapeId="0">
      <text>
        <t xml:space="preserve">=== CÁLCULO APLICADO ===
formula:   TAS_5000 = IAS / sqrt(σ_5000)
inputs:
    IAS:   7.31
    σ_5000:   0.862
</t>
      </text>
    </comment>
    <comment ref="F18" authorId="1" shapeId="0">
      <text>
        <t xml:space="preserve">
=== CORRELATION DETAILS ===
Aeronave:   Integrator Extended Range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8" authorId="1" shapeId="0">
      <text>
        <t xml:space="preserve">=== IMPUTED VALUE ===
Aeronave:   Integrator Extended Range
Parámetro:   Área del ala
Valor imputado:   1.09
Confianza:   0.272
Método predictivo:   Correlacion
Iteración imputación:   1
variable_independiente_1:   2.5
=== CORRELATION DETAILS ===
Aeronave:   Integrator Extended Range
Parámetro:   Área del ala
Valor imputado:   1.09
Confianza:   0.272
Tipo Modelo:   poly-1
Predictores:   Longitud del fuselaje
Coeficientes: [-1.34, 0.411]
Peso de predictores: [1]
Aeronaves entrenamiento: [Stalker XE, Stalker VXE30 Fuel Cell, Stalker VXE30 Battery, Aerosonde Mk. 4.7 Fixed Wing, Aerosonde Mk. 4.8 Fixed wing]
k:   5
Penalizacion_k:   0.272
Corr:   1
MAPE:   0.000
R2:   1
Confianza_LOOCV:   0.234
k_LOOCV:   5
Corr_LOOCV:   0.86
MAPE_LOOCV:   3.3
R2_LOOCV:   0.939
Método predictivo:   Correlacion
Advertencia:   Advertencia: El MAPE de validación es más de 5 veces mayor que el de entrenamiento (3.30% vs 0.00%). Posible sobreajuste.; 🟢 Modelo robusto
Familia:   F0
Iteración imputación:   1
variable_independiente_1:   2.5
</t>
      </text>
    </comment>
    <comment ref="H18" authorId="1" shapeId="0">
      <text>
        <t>=== IMPUTED VALUE ===
Aeronave:   Integrator Extended Range
Parámetro:   Relación de aspecto del ala
Valor imputado:   15.3
Confianza:   0.271
Método predictivo:   Correlacion
Iteración imputación:   1
variable_independiente_1:   500
=== CORRELATION DETAILS ===
Aeronave:   Integrator Extended Range
Parámetro:   Relación de aspecto del ala
Valor imputado:   15.3
Confianza:   0.271
Tipo Modelo:   poly-1
Predictores:   Alcance de la aeronave
Coeficientes: [0.000801, -0.000]
Peso de predictores: [1]
Aeronaves entrenamiento: [Stalker XE, Stalker VXE30 Fuel Cell, Stalker VXE30 Battery, Aerosonde Mk. 4.7 Fixed Wing, Aerosonde Mk. 4.8 Fixed wing]
k:   5
Penalizacion_k:   0.272
Corr:   0.998
MAPE:   0.0614
R2:   1
Confianza_LOOCV:   0.269
k_LOOCV:   5
Corr_LOOCV:   0.989
MAPE_LOOCV:   0.299
R2_LOOCV:   0.998
Método predictivo:   Correlacion
Advertencia:   🟢 Modelo robusto
Familia:   F0
Iteración imputación:   1
variable_independiente_1:   500
[Verificación] AR ≈ b / c
[Fórmula] Δrel = |A − B| / max(|A|, |B|, 1e−12) con A=AR, B=b/c
[Normalización] Error relativo simétrico para escalas comparables.
[Sustitución] |15.2816 − (4.8/0.306722)| / max(|15.2816|, |15.6494|, 1e−12)
[Resultado] Δrel=0.0235025 (2.35%); severidad: ajuste</t>
      </text>
    </comment>
    <comment ref="J18" authorId="1" shapeId="0">
      <text>
        <t xml:space="preserve">
=== CORRELATION DETAILS ===
Aeronave:   Integrator Extended Range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8" authorId="1" shapeId="0">
      <text>
        <t xml:space="preserve">=== IMPUTED VALUE ===
Aeronave:   Integrator Extended Range
Parámetro:   Ancho del fuselaje
Valor imputado:   0.211
Confianza:   0.256
Método predictivo:   Correlacion
Iteración imputación:   1
variable_independiente_1:   500
=== CORRELATION DETAILS ===
Aeronave:   Integrator Extended Range
Parámetro:   Ancho del fuselaje
Valor imputado:   0.211
Confianza:   0.256
Tipo Modelo:   exp-1
Predictores:   Alcance de la aeronave
Coeficientes: [0.000212]
Peso de predictores: [1]
Aeronaves entrenamiento: [Stalker XE, Stalker VXE30 Fuel Cell, Stalker VXE30 Battery, Aerosonde Mk. 4.7 Fixed Wing, Aerosonde Mk. 4.8 Fixed wing]
k:   5
Penalizacion_k:   0.272
Corr:   0.942
MAPE:   1.53
R2:   0.985
Confianza_LOOCV:   0.245
k_LOOCV:   5
Corr_LOOCV:   0.901
MAPE_LOOCV:   2.44
R2_LOOCV:   0.965
Método predictivo:   Correlacion
Advertencia:   🟢 Modelo robusto
Familia:   F0
Iteración imputación:   1
variable_independiente_1:   500
</t>
      </text>
    </comment>
    <comment ref="P18" authorId="1" shapeId="0">
      <text>
        <t xml:space="preserve">
=== CORRELATION DETAILS ===
Aeronave:   Integrator Extended Range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8" authorId="1" shapeId="0">
      <text>
        <t xml:space="preserve">
=== CORRELATION DETAILS ===
Aeronave:   Integrator Extended Range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8" authorId="1" shapeId="0">
      <text>
        <t xml:space="preserve">
=== CORRELATION DETAILS ===
Aeronave:   Integrator Extended Range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8" authorId="2" shapeId="0">
      <text>
        <t>[Verificación] AR ≈ b / c
[Fórmula] Δrel = |A − B| / max(|A|, |B|, 1e−12) con A=AR, B=b/c
[Normalización] Error relativo simétrico para escalas comparables.
[Sustitución] |15.2816 − (4.8/0.306722)| / max(|15.2816|, |15.6494|, 1e−12)
[Resultado] Δrel=0.0235025 (2.35%); severidad: ajuste</t>
      </text>
    </comment>
    <comment ref="T18" authorId="1" shapeId="0">
      <text>
        <t>=== IMPUTED VALUE ===
Aeronave:   Integrator Extended Range
Parámetro:   Cuerda
Valor imputado:   0.307
Confianza:   0.272
Método predictivo:   Correlacion
Iteración imputación:   1
variable_independiente_1:   2.5
=== CORRELATION DETAILS ===
Aeronave:   Integrator Extended Range
Parámetro:   Cuerda
Valor imputado:   0.307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F0
Iteración imputación:   1
variable_independiente_1:   2.5
[Verificación] AR ≈ b / c
[Fórmula] Δrel = |A − B| / max(|A|, |B|, 1e−12) con A=AR, B=b/c
[Normalización] Error relativo simétrico para escalas comparables.
[Sustitución] |15.2816 − (4.8/0.306722)| / max(|15.2816|, |15.6494|, 1e−12)
[Resultado] Δrel=0.0235025 (2.35%); severidad: ajuste</t>
      </text>
    </comment>
    <comment ref="V18" authorId="1" shapeId="0">
      <text>
        <t xml:space="preserve">
=== CORRELATION DETAILS ===
Aeronave:   Integrator Extended Range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8" authorId="1" shapeId="0">
      <text>
        <t xml:space="preserve">=== CÁLCULO APLICADO ===
formula:   V = R*1000/(h*3600)
inputs:
    R[km]:   500
    Autonomía[h]:   19
</t>
      </text>
    </comment>
    <comment ref="X18" authorId="1" shapeId="0">
      <text>
        <t xml:space="preserve">
=== CORRELATION DETAILS ===
Aeronave:   Integrator Extended Range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8" authorId="1" shapeId="0">
      <text>
        <t xml:space="preserve">
=== CORRELATION DETAILS ===
Aeronave:   Integrator Extended Range
Parámetro:   Peso frame
Valor imputado:   nan
Confianza:   0
Corr:   0
k:   0
Tipo Modelo:   n/a
Predictores:   
Penalizacion_k:   0
Familia:   sin filtro
Método predictivo:   Correlacion
Advertencia:   ❌ No se permite imputación sin filtro para esta celda.
Iteración imputación:   3
</t>
      </text>
    </comment>
    <comment ref="Z18" authorId="1" shapeId="0">
      <text>
        <t xml:space="preserve">
=== CORRELATION DETAILS ===
Aeronave:   Integrator Extended Range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8" authorId="1" shapeId="0">
      <text>
        <t xml:space="preserve">=== CÁLCULO APLICADO ===
formula:   W0 = MTOW - Payload
inputs:
    MTOW:   74.8
    Payload:   18
</t>
      </text>
    </comment>
    <comment ref="AB18" authorId="1" shapeId="0">
      <text>
        <t xml:space="preserve">
=== CORRELATION DETAILS ===
Aeronave:   Integrator Extended Range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8" authorId="1" shapeId="0">
      <text>
        <t xml:space="preserve">
=== CORRELATION DETAILS ===
Aeronave:   Integrator Extended Range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8" authorId="1" shapeId="0">
      <text>
        <t xml:space="preserve">=== IMPUTED VALUE ===
Aeronave:   Integrator Extended Range
Parámetro:   Rango de comunicación
Valor imputado:   88.7
Confianza:   0.471
Método predictivo:   Correlacion
Iteración imputación:   1
variable_independiente_1:   46.3
=== CORRELATION DETAILS ===
Aeronave:   Integrator Extended Range
Parámetro:   Rango de comunicación
Valor imputado:   88.7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46.3
</t>
      </text>
    </comment>
    <comment ref="AE18" authorId="1" shapeId="0">
      <text>
        <t xml:space="preserve">
=== CORRELATION DETAILS ===
Aeronave:   Integrator Extended Range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8" authorId="1" shapeId="0">
      <text>
        <t xml:space="preserve">
=== CORRELATION DETAILS ===
Aeronave:   Integrator Extended Range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8" authorId="1" shapeId="0">
      <text>
        <t xml:space="preserve">
=== CORRELATION DETAILS ===
Aeronave:   Integrator Extended Range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8" authorId="1" shapeId="0">
      <text>
        <t xml:space="preserve">
=== CORRELATION DETAILS ===
Aeronave:   Integrator Extended Range
Parámetro:   Consumo
Valor imputado:   nan
Confianza:   0
Corr:   0
k:   0
Tipo Modelo:   n/a
Predictores:   
Penalizacion_k:   0
Familia:   sin filtro
Método predictivo:   Correlacion
Advertencia:   ❌ No se permite imputación sin filtro para esta celda.
Iteración imputación:   3
</t>
      </text>
    </comment>
    <comment ref="AI18" authorId="1" shapeId="0">
      <text>
        <t xml:space="preserve">
=== CORRELATION DETAILS ===
Aeronave:   Integrator Extended Range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8" authorId="1" shapeId="0">
      <text>
        <t xml:space="preserve">
=== CORRELATION DETAILS ===
Aeronave:   Integrator Extended Range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8" authorId="1" shapeId="0">
      <text>
        <t xml:space="preserve">
=== CORRELATION DETAILS ===
Aeronave:   Integrator Extended Range
Parámetro:   Precio
Valor imputado:   nan
Confianza:   0
Corr:   0
k:   0
Tipo Modelo:   n/a
Predictores:   
Penalizacion_k:   0
Familia:   sin filtro
Método predictivo:   Correlacion
Advertencia:   ❌ No se permite imputación sin filtro para esta celda.
Iteración imputación:   3
</t>
      </text>
    </comment>
    <comment ref="AL18" authorId="1" shapeId="0">
      <text>
        <t xml:space="preserve">
=== CORRELATION DETAILS ===
Aeronave:   Integrator Extended Range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9" authorId="1" shapeId="0">
      <text>
        <t xml:space="preserve">
=== CORRELATION DETAILS ===
Aeronave:   ScanEagle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9" authorId="1" shapeId="0">
      <text>
        <t xml:space="preserve">
=== CORRELATION DETAILS ===
Aeronave:   ScanEagle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9" authorId="1" shapeId="0">
      <text>
        <t xml:space="preserve">=== CÁLCULO APLICADO ===
formula:   TAS_5000 = IAS / sqrt(σ_5000)
inputs:
    IAS:   23.5
    σ_5000:   0.862
</t>
      </text>
    </comment>
    <comment ref="F19" authorId="1" shapeId="0">
      <text>
        <t xml:space="preserve">
=== CORRELATION DETAILS ===
Aeronave:   ScanEagle 3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9" authorId="1" shapeId="0">
      <text>
        <t xml:space="preserve">=== IMPUTED VALUE ===
Aeronave:   ScanEagle 3
Parámetro:   Área del ala
Valor imputado:   1.02
Confianza:   0.272
Método predictivo:   Correlacion
Iteración imputación:   1
variable_independiente_1:   2.4
=== CORRELATION DETAILS ===
Aeronave:   ScanEagle 3
Parámetro:   Área del ala
Valor imputado:   1.02
Confianza:   0.272
Tipo Modelo:   poly-1
Predictores:   Longitud del fuselaje
Coeficientes: [-1.34, 0.411]
Peso de predictores: [1]
Aeronaves entrenamiento: [Stalker XE, Stalker VXE30 Fuel Cell, Stalker VXE30 Battery, Aerosonde Mk. 4.7 Fixed Wing, Aerosonde Mk. 4.8 Fixed wing]
k:   5
Penalizacion_k:   0.272
Corr:   1
MAPE:   0.000
R2:   1
Confianza_LOOCV:   0.234
k_LOOCV:   5
Corr_LOOCV:   0.86
MAPE_LOOCV:   3.3
R2_LOOCV:   0.939
Método predictivo:   Correlacion
Advertencia:   Advertencia: El MAPE de validación es más de 5 veces mayor que el de entrenamiento (3.30% vs 0.00%). Posible sobreajuste.; 🟢 Modelo robusto
Familia:   F0
Iteración imputación:   1
variable_independiente_1:   2.4
</t>
      </text>
    </comment>
    <comment ref="H19" authorId="1" shapeId="0">
      <text>
        <t>=== IMPUTED VALUE ===
Aeronave:   ScanEagle 3
Parámetro:   Relación de aspecto del ala
Valor imputado:   13.4
Confianza:   0.272
Método predictivo:   Correlacion
Iteración imputación:   1
variable_independiente_1:   23.5
=== CORRELATION DETAILS ===
Aeronave:   ScanEagle 3
Parámetro:   Relación de aspecto del ala
Valor imputado:   13.4
Confianza:   0.272
Tipo Modelo:   poly-1
Predictores:   Velocidad crucero m/s
Coeficientes: [1.21, -0.0372]
Peso de predictores: [1]
Aeronaves entrenamiento: [Stalker XE, Stalker VXE30 Fuel Cell, Stalker VXE30 Battery, Aerosonde Mk. 4.7 Fixed Wing, Aerosonde Mk. 4.8 Fixed wing]
k:   5
Penalizacion_k:   0.272
Corr:   1
MAPE:   0.000
R2:   1
Confianza_LOOCV:   0.269
k_LOOCV:   5
Corr_LOOCV:   0.989
MAPE_LOOCV:   0.275
R2_LOOCV:   0.995
Método predictivo:   Correlacion
Advertencia:   Advertencia: El MAPE de validación es más de 5 veces mayor que el de entrenamiento (0.27% vs 0.00%). Posible sobreajuste.; 🟢 Modelo robusto
Familia:   F0
Iteración imputación:   1
variable_independiente_1:   23.5
[Verificación] AR ≈ b / c
[Fórmula] Δrel = |A − B| / max(|A|, |B|, 1e−12) con A=AR, B=b/c
[Normalización] Error relativo simétrico para escalas comparables.
[Sustitución] |13.3889 − (4/0.292416)| / max(|13.3889|, |13.6791|, 1e−12)
[Resultado] Δrel=0.0212198 (2.12%); severidad: ajuste</t>
      </text>
    </comment>
    <comment ref="J19" authorId="1" shapeId="0">
      <text>
        <t xml:space="preserve">
=== CORRELATION DETAILS ===
Aeronave:   ScanEagle 3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9" authorId="1" shapeId="0">
      <text>
        <t xml:space="preserve">=== IMPUTED VALUE ===
Aeronave:   ScanEagle 3
Parámetro:   Ancho del fuselaje
Valor imputado:   0.235
Confianza:   0.272
Método predictivo:   Correlacion
Iteración imputación:   1
variable_independiente_1:   23.5
=== CORRELATION DETAILS ===
Aeronave:   ScanEagle 3
Parámetro:   Ancho del fuselaje
Valor imputado:   0.235
Confianza:   0.272
Tipo Modelo:   poly-1
Predictores:   Velocidad crucero m/s
Coeficientes: [-0.1, 0.00265]
Peso de predictores: [1]
Aeronaves entrenamiento: [Stalker XE, Stalker VXE30 Fuel Cell, Stalker VXE30 Battery, Aerosonde Mk. 4.7 Fixed Wing, Aerosonde Mk. 4.8 Fixed wing]
k:   5
Penalizacion_k:   0.272
Corr:   1
MAPE:   0.000
R2:   1
Confianza_LOOCV:   0.253
k_LOOCV:   5
Corr_LOOCV:   0.93
MAPE_LOOCV:   1.52
R2_LOOCV:   0.961
Método predictivo:   Correlacion
Advertencia:   Advertencia: El MAPE de validación es más de 5 veces mayor que el de entrenamiento (1.52% vs 0.00%). Posible sobreajuste.; 🟢 Modelo robusto
Familia:   F0
Iteración imputación:   1
variable_independiente_1:   23.5
</t>
      </text>
    </comment>
    <comment ref="M19" authorId="1" shapeId="0">
      <text>
        <t xml:space="preserve">=== CÁLCULO APLICADO ===
formula:   R[km] = h*3600*V/1000
inputs:
    Autonomía[h]:   18
    Velocidad[m/s]:   23.5
</t>
      </text>
    </comment>
    <comment ref="P19" authorId="1" shapeId="0">
      <text>
        <t xml:space="preserve">
=== CORRELATION DETAILS ===
Aeronave:   ScanEagle 3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9" authorId="1" shapeId="0">
      <text>
        <t xml:space="preserve">
=== CORRELATION DETAILS ===
Aeronave:   ScanEagle 3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9" authorId="1" shapeId="0">
      <text>
        <t xml:space="preserve">
=== CORRELATION DETAILS ===
Aeronave:   ScanEagle 3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9" authorId="2" shapeId="0">
      <text>
        <t>[Verificación] AR ≈ b / c
[Fórmula] Δrel = |A − B| / max(|A|, |B|, 1e−12) con A=AR, B=b/c
[Normalización] Error relativo simétrico para escalas comparables.
[Sustitución] |13.3889 − (4/0.292416)| / max(|13.3889|, |13.6791|, 1e−12)
[Resultado] Δrel=0.0212198 (2.12%); severidad: ajuste</t>
      </text>
    </comment>
    <comment ref="T19" authorId="1" shapeId="0">
      <text>
        <t>=== IMPUTED VALUE ===
Aeronave:   ScanEagle 3
Parámetro:   Cuerda
Valor imputado:   0.292
Confianza:   0.272
Método predictivo:   Correlacion
Iteración imputación:   1
variable_independiente_1:   2.4
=== CORRELATION DETAILS ===
Aeronave:   ScanEagle 3
Parámetro:   Cuerda
Valor imputado:   0.292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F0
Iteración imputación:   1
variable_independiente_1:   2.4
[Verificación] AR ≈ b / c
[Fórmula] Δrel = |A − B| / max(|A|, |B|, 1e−12) con A=AR, B=b/c
[Normalización] Error relativo simétrico para escalas comparables.
[Sustitución] |13.3889 − (4/0.292416)| / max(|13.3889|, |13.6791|, 1e−12)
[Resultado] Δrel=0.0212198 (2.12%); severidad: ajuste</t>
      </text>
    </comment>
    <comment ref="V19" authorId="1" shapeId="0">
      <text>
        <t xml:space="preserve">
=== CORRELATION DETAILS ===
Aeronave:   ScanEagle 3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9" authorId="1" shapeId="0">
      <text>
        <t xml:space="preserve">
=== CORRELATION DETAILS ===
Aeronave:   ScanEagle 3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9" authorId="1" shapeId="0">
      <text>
        <t xml:space="preserve">
=== CORRELATION DETAILS ===
Aeronave:   ScanEagle 3
Parámetro:   Peso frame
Valor imputado:   nan
Confianza:   0
Corr:   0
k:   0
Tipo Modelo:   n/a
Predictores:   
Penalizacion_k:   0
Familia:   sin filtro
Método predictivo:   Correlacion
Advertencia:   ❌ No se permite imputación sin filtro para esta celda.
Iteración imputación:   3
</t>
      </text>
    </comment>
    <comment ref="Z19" authorId="1" shapeId="0">
      <text>
        <t xml:space="preserve">
=== CORRELATION DETAILS ===
Aeronave:   ScanEagle 3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9" authorId="1" shapeId="0">
      <text>
        <t xml:space="preserve">=== CÁLCULO APLICADO ===
formula:   W0 = MTOW - Payload
inputs:
    MTOW:   36.3
    Payload:   8.6
</t>
      </text>
    </comment>
    <comment ref="AB19" authorId="1" shapeId="0">
      <text>
        <t xml:space="preserve">
=== CORRELATION DETAILS ===
Aeronave:   ScanEagle 3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9" authorId="1" shapeId="0">
      <text>
        <t xml:space="preserve">
=== CORRELATION DETAILS ===
Aeronave:   ScanEagle 3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9" authorId="1" shapeId="0">
      <text>
        <t xml:space="preserve">=== IMPUTED VALUE ===
Aeronave:   ScanEagle 3
Parámetro:   Rango de comunicación
Valor imputado:   123
Confianza:   0.471
Método predictivo:   Correlacion
Iteración imputación:   1
variable_independiente_1:   41.2
=== CORRELATION DETAILS ===
Aeronave:   ScanEagle 3
Parámetro:   Rango de comunicación
Valor imputado:   123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41.2
</t>
      </text>
    </comment>
    <comment ref="AE19" authorId="1" shapeId="0">
      <text>
        <t xml:space="preserve">
=== CORRELATION DETAILS ===
Aeronave:   ScanEagle 3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9" authorId="1" shapeId="0">
      <text>
        <t xml:space="preserve">
=== CORRELATION DETAILS ===
Aeronave:   ScanEagle 3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9" authorId="1" shapeId="0">
      <text>
        <t xml:space="preserve">
=== CORRELATION DETAILS ===
Aeronave:   ScanEagle 3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9" authorId="1" shapeId="0">
      <text>
        <t xml:space="preserve">
=== CORRELATION DETAILS ===
Aeronave:   ScanEagle 3
Parámetro:   Consumo
Valor imputado:   nan
Confianza:   0
Corr:   0
k:   0
Tipo Modelo:   n/a
Predictores:   
Penalizacion_k:   0
Familia:   sin filtro
Método predictivo:   Correlacion
Advertencia:   ❌ No se permite imputación sin filtro para esta celda.
Iteración imputación:   3
</t>
      </text>
    </comment>
    <comment ref="AJ19" authorId="1" shapeId="0">
      <text>
        <t xml:space="preserve">
=== CORRELATION DETAILS ===
Aeronave:   ScanEagle 3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9" authorId="1" shapeId="0">
      <text>
        <t xml:space="preserve">
=== CORRELATION DETAILS ===
Aeronave:   ScanEagle 3
Parámetro:   Precio
Valor imputado:   nan
Confianza:   0
Corr:   0
k:   0
Tipo Modelo:   n/a
Predictores:   
Penalizacion_k:   0
Familia:   sin filtro
Método predictivo:   Correlacion
Advertencia:   ❌ No se permite imputación sin filtro para esta celda.
Iteración imputación:   3
</t>
      </text>
    </comment>
    <comment ref="AL19" authorId="1" shapeId="0">
      <text>
        <t xml:space="preserve">
=== CORRELATION DETAILS ===
Aeronave:   ScanEagle 3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0" authorId="1" shapeId="0">
      <text>
        <t xml:space="preserve">
=== CORRELATION DETAILS ===
Aeronave:   RQ Nan 21A Blackjack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0" authorId="1" shapeId="0">
      <text>
        <t xml:space="preserve">
=== CORRELATION DETAILS ===
Aeronave:   RQ Nan 21A Blackjack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0" authorId="1" shapeId="0">
      <text>
        <t xml:space="preserve">=== CÁLCULO APLICADO ===
formula:   TAS_5000 = IAS / sqrt(σ_5000)
inputs:
    IAS:   30.9
    σ_5000:   0.862
</t>
      </text>
    </comment>
    <comment ref="F20" authorId="1" shapeId="0">
      <text>
        <t xml:space="preserve">
=== CORRELATION DETAILS ===
Aeronave:   RQ Nan 21A Blackjack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20" authorId="1" shapeId="0">
      <text>
        <t xml:space="preserve">=== IMPUTED VALUE ===
Aeronave:   RQ Nan 21A Blackjack
Parámetro:   Área del ala
Valor imputado:   1.1
Confianza:   0.272
Método predictivo:   Correlacion
Iteración imputación:   1
variable_independiente_1:   92.6
=== CORRELATION DETAILS ===
Aeronave:   RQ Nan 21A Blackjack
Parámetro:   Área del ala
Valor imputado:   1.1
Confianza:   0.272
Tipo Modelo:   poly-1
Predictores:   Rango de comunicación
Coeficientes: [0.00161, 0.000]
Peso de predictores: [1]
Aeronaves entrenamiento: [Stalker XE, Stalker VXE30 Fuel Cell, Stalker VXE30 Battery, Aerosonde Mk. 4.7 Fixed Wing, Aerosonde Mk. 4.8 Fixed wing]
k:   5
Penalizacion_k:   0.272
Corr:   1
MAPE:   0
R2:   1
Confianza_LOOCV:   0.262
k_LOOCV:   5
Corr_LOOCV:   0.962
MAPE_LOOCV:   1.05
R2_LOOCV:   0.994
Método predictivo:   Correlacion
Advertencia:   Advertencia: El MAPE de validación es más de 5 veces mayor que el de entrenamiento (1.05% vs 0.00%). Posible sobreajuste.; 🟢 Modelo robusto
Familia:   F0
Iteración imputación:   1
variable_independiente_1:   92.6
</t>
      </text>
    </comment>
    <comment ref="H20" authorId="1" shapeId="0">
      <text>
        <t>=== IMPUTED VALUE ===
Aeronave:   RQ Nan 21A Blackjack
Parámetro:   Relación de aspecto del ala
Valor imputado:   12.5
Confianza:   0.271
Método predictivo:   Correlacion
Iteración imputación:   1
variable_independiente_1:   1779.840
=== CORRELATION DETAILS ===
Aeronave:   RQ Nan 21A Blackjack
Parámetro:   Relación de aspecto del ala
Valor imputado:   12.5
Confianza:   0.271
Tipo Modelo:   poly-1
Predictores:   Alcance de la aeronave
Coeficientes: [0.000801, -0.000]
Peso de predictores: [1]
Aeronaves entrenamiento: [Stalker XE, Stalker VXE30 Fuel Cell, Stalker VXE30 Battery, Aerosonde Mk. 4.7 Fixed Wing, Aerosonde Mk. 4.8 Fixed wing]
k:   5
Penalizacion_k:   0.272
Corr:   0.998
MAPE:   0.0614
R2:   1
Confianza_LOOCV:   0.269
k_LOOCV:   5
Corr_LOOCV:   0.989
MAPE_LOOCV:   0.299
R2_LOOCV:   0.998
Método predictivo:   Correlacion
Advertencia:   🟢 Modelo robusto
Familia:   F0
Iteración imputación:   1
variable_independiente_1:   1779.840
[Verificación] AR ≈ b / c
[Fórmula] Δrel = |A − B| / max(|A|, |B|, 1e−12) con A=AR, B=b/c
[Normalización] Error relativo simétrico para escalas comparables.
[Sustitución] |12.5083 − (4.8/0.306722)| / max(|12.5083|, |15.6494|, 1e−12)
[Resultado] Δrel=0.200713 (20.07%); severidad: no_confiable</t>
      </text>
    </comment>
    <comment ref="J20" authorId="1" shapeId="0">
      <text>
        <t xml:space="preserve">
=== CORRELATION DETAILS ===
Aeronave:   RQ Nan 21A Blackjack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0" authorId="1" shapeId="0">
      <text>
        <t xml:space="preserve">=== IMPUTED VALUE ===
Aeronave:   RQ Nan 21A Blackjack
Parámetro:   Ancho del fuselaje
Valor imputado:   0.277
Confianza:   0.256
Método predictivo:   Correlacion
Iteración imputación:   1
variable_independiente_1:   1779.840
=== CORRELATION DETAILS ===
Aeronave:   RQ Nan 21A Blackjack
Parámetro:   Ancho del fuselaje
Valor imputado:   0.277
Confianza:   0.256
Tipo Modelo:   exp-1
Predictores:   Alcance de la aeronave
Coeficientes: [0.000212]
Peso de predictores: [1]
Aeronaves entrenamiento: [Stalker XE, Stalker VXE30 Fuel Cell, Stalker VXE30 Battery, Aerosonde Mk. 4.7 Fixed Wing, Aerosonde Mk. 4.8 Fixed wing]
k:   5
Penalizacion_k:   0.272
Corr:   0.942
MAPE:   1.53
R2:   0.985
Confianza_LOOCV:   0.245
k_LOOCV:   5
Corr_LOOCV:   0.901
MAPE_LOOCV:   2.44
R2_LOOCV:   0.965
Método predictivo:   Correlacion
Advertencia:   🟢 Modelo robusto
Familia:   F0
Iteración imputación:   1
variable_independiente_1:   1779.840
</t>
      </text>
    </comment>
    <comment ref="M20" authorId="1" shapeId="0">
      <text>
        <t xml:space="preserve">=== CÁLCULO APLICADO ===
formula:   R[km] = h*3600*V/1000
inputs:
    Autonomía[h]:   16
    Velocidad[m/s]:   30.9
</t>
      </text>
    </comment>
    <comment ref="P20" authorId="1" shapeId="0">
      <text>
        <t xml:space="preserve">
=== CORRELATION DETAILS ===
Aeronave:   RQ Nan 21A Blackjack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0" authorId="1" shapeId="0">
      <text>
        <t xml:space="preserve">
=== CORRELATION DETAILS ===
Aeronave:   RQ Nan 21A Blackjack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0" authorId="1" shapeId="0">
      <text>
        <t xml:space="preserve">
=== CORRELATION DETAILS ===
Aeronave:   RQ Nan 21A Blackjack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20" authorId="2" shapeId="0">
      <text>
        <t>[Verificación] AR ≈ b / c
[Fórmula] Δrel = |A − B| / max(|A|, |B|, 1e−12) con A=AR, B=b/c
[Normalización] Error relativo simétrico para escalas comparables.
[Sustitución] |12.5083 − (4.8/0.306722)| / max(|12.5083|, |15.6494|, 1e−12)
[Resultado] Δrel=0.200713 (20.07%); severidad: no_confiable</t>
      </text>
    </comment>
    <comment ref="T20" authorId="1" shapeId="0">
      <text>
        <t>=== IMPUTED VALUE ===
Aeronave:   RQ Nan 21A Blackjack
Parámetro:   Cuerda
Valor imputado:   0.307
Confianza:   0.272
Método predictivo:   Correlacion
Iteración imputación:   1
variable_independiente_1:   2.5
=== CORRELATION DETAILS ===
Aeronave:   RQ Nan 21A Blackjack
Parámetro:   Cuerda
Valor imputado:   0.307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F0
Iteración imputación:   1
variable_independiente_1:   2.5
[Verificación] AR ≈ b / c
[Fórmula] Δrel = |A − B| / max(|A|, |B|, 1e−12) con A=AR, B=b/c
[Normalización] Error relativo simétrico para escalas comparables.
[Sustitución] |12.5083 − (4.8/0.306722)| / max(|12.5083|, |15.6494|, 1e−12)
[Resultado] Δrel=0.200713 (20.07%); severidad: no_confiable</t>
      </text>
    </comment>
    <comment ref="V20" authorId="1" shapeId="0">
      <text>
        <t xml:space="preserve">
=== CORRELATION DETAILS ===
Aeronave:   RQ Nan 21A Blackjack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0" authorId="1" shapeId="0">
      <text>
        <t xml:space="preserve">
=== CORRELATION DETAILS ===
Aeronave:   RQ Nan 21A Blackjack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0" authorId="1" shapeId="0">
      <text>
        <t xml:space="preserve">
=== CORRELATION DETAILS ===
Aeronave:   RQ Nan 21A Blackjack
Parámetro:   Peso frame
Valor imputado:   nan
Confianza:   0
Corr:   0
k:   0
Tipo Modelo:   n/a
Predictores:   
Penalizacion_k:   0
Familia:   sin filtro
Método predictivo:   Correlacion
Advertencia:   ❌ No se permite imputación sin filtro para esta celda.
Iteración imputación:   3
</t>
      </text>
    </comment>
    <comment ref="Z20" authorId="1" shapeId="0">
      <text>
        <t xml:space="preserve">
=== CORRELATION DETAILS ===
Aeronave:   RQ Nan 21A Blackjack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0" authorId="1" shapeId="0">
      <text>
        <t xml:space="preserve">=== CÁLCULO APLICADO ===
formula:   W0 = MTOW - Payload
inputs:
    MTOW:   61
    Payload:   17.7
</t>
      </text>
    </comment>
    <comment ref="AB20" authorId="1" shapeId="0">
      <text>
        <t xml:space="preserve">
=== CORRELATION DETAILS ===
Aeronave:   RQ Nan 21A Blackjack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0" authorId="1" shapeId="0">
      <text>
        <t xml:space="preserve">
=== CORRELATION DETAILS ===
Aeronave:   RQ Nan 21A Blackjack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0" authorId="1" shapeId="0">
      <text>
        <t xml:space="preserve">
=== CORRELATION DETAILS ===
Aeronave:   RQ Nan 21A Blackjack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0" authorId="1" shapeId="0">
      <text>
        <t xml:space="preserve">
=== CORRELATION DETAILS ===
Aeronave:   RQ Nan 21A Blackjack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0" authorId="1" shapeId="0">
      <text>
        <t xml:space="preserve">
=== CORRELATION DETAILS ===
Aeronave:   RQ Nan 21A Blackjack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0" authorId="1" shapeId="0">
      <text>
        <t xml:space="preserve">
=== CORRELATION DETAILS ===
Aeronave:   RQ Nan 21A Blackjack
Parámetro:   Consumo
Valor imputado:   nan
Confianza:   0
Corr:   0
k:   0
Tipo Modelo:   n/a
Predictores:   
Penalizacion_k:   0
Familia:   sin filtro
Método predictivo:   Correlacion
Advertencia:   ❌ No se permite imputación sin filtro para esta celda.
Iteración imputación:   3
</t>
      </text>
    </comment>
    <comment ref="AI20" authorId="1" shapeId="0">
      <text>
        <t xml:space="preserve">
=== CORRELATION DETAILS ===
Aeronave:   RQ Nan 21A Blackjack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20" authorId="1" shapeId="0">
      <text>
        <t xml:space="preserve">
=== CORRELATION DETAILS ===
Aeronave:   RQ Nan 21A Blackjack
Parámetro:   Precio
Valor imputado:   nan
Confianza:   0
Corr:   0
k:   0
Tipo Modelo:   n/a
Predictores:   
Penalizacion_k:   0
Familia:   sin filtro
Método predictivo:   Correlacion
Advertencia:   ❌ No se permite imputación sin filtro para esta celda.
Iteración imputación:   3
</t>
      </text>
    </comment>
    <comment ref="AL20" authorId="1" shapeId="0">
      <text>
        <t xml:space="preserve">
=== CORRELATION DETAILS ===
Aeronave:   RQ Nan 21A Blackjack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1" authorId="1" shapeId="0">
      <text>
        <t xml:space="preserve">
=== CORRELATION DETAILS ===
Aeronave:   DeltaQuad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1" authorId="1" shapeId="0">
      <text>
        <t xml:space="preserve">
=== CORRELATION DETAILS ===
Aeronave:   DeltaQuad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1" authorId="1" shapeId="0">
      <text>
        <t xml:space="preserve">=== CÁLCULO APLICADO ===
formula:   TAS_5000 = IAS / sqrt(σ_5000)
inputs:
    IAS:   16.5
    σ_5000:   0.862
</t>
      </text>
    </comment>
    <comment ref="F21" authorId="1" shapeId="0">
      <text>
        <t xml:space="preserve">
=== CORRELATION DETAILS ===
Aeronave:   DeltaQuad Evo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H21" authorId="1" shapeId="0">
      <text>
        <t xml:space="preserve">
=== CORRELATION DETAILS ===
Aeronave:   DeltaQuad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1" authorId="1" shapeId="0">
      <text>
        <t xml:space="preserve">
=== CORRELATION DETAILS ===
Aeronave:   DeltaQuad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1" authorId="1" shapeId="0">
      <text>
        <t xml:space="preserve">
=== CORRELATION DETAILS ===
Aeronave:   DeltaQuad Evo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O21" authorId="1" shapeId="0">
      <text>
        <t xml:space="preserve">=== IMPUTED VALUE ===
Aeronave:   DeltaQuad Evo
Parámetro:   Velocidad máxima (m/s IAS)
Valor imputado:   32.3
Confianza:   0.348
Método predictivo:   Correlacion
Iteración imputación:   1
variable_independiente_1:   270
=== CORRELATION DETAILS ===
Aeronave:   DeltaQuad Evo
Parámetro:   Velocidad máxima (m/s IAS)
Valor imputado:   32.3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270
</t>
      </text>
    </comment>
    <comment ref="P21" authorId="1" shapeId="0">
      <text>
        <t xml:space="preserve">
=== CORRELATION DETAILS ===
Aeronave:   DeltaQuad Evo
Parámetro:   Velocidad de pérdida (m/s CAS)
Valor imputado:   nan
Confianza:   0
Corr:   0
k:   0
Tipo Modelo:   n/a
Predictores:   
Penalizacion_k:   0
Familia:   F0
Método predictivo:   Correlacion
Advertencia:   ❌ Todos los modelos descartados por LOOCV (MAPE &gt; 12.5% o R2 &lt;= 0.45)
Iteración imputación:   3
</t>
      </text>
    </comment>
    <comment ref="Q21" authorId="1" shapeId="0">
      <text>
        <t xml:space="preserve">
=== CORRELATION DETAILS ===
Aeronave:   DeltaQuad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1" authorId="1" shapeId="0">
      <text>
        <t xml:space="preserve">
=== CORRELATION DETAILS ===
Aeronave:   DeltaQuad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1" authorId="1" shapeId="0">
      <text>
        <t xml:space="preserve">
=== CORRELATION DETAILS ===
Aeronave:   DeltaQuad Evo
Parámetro:   Cuerda
Valor imputado:   nan
Confianza:   0
Corr:   0
k:   0
Tipo Modelo:   n/a
Predictores:   
Penalizacion_k:   0
Familia:   sin filtro
Método predictivo:   Correlacion
Advertencia:   ❌ No se permite imputación sin filtro para esta celda.
Iteración imputación:   3
</t>
      </text>
    </comment>
    <comment ref="V21" authorId="1" shapeId="0">
      <text>
        <t xml:space="preserve">
=== CORRELATION DETAILS ===
Aeronave:   DeltaQuad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1" authorId="1" shapeId="0">
      <text>
        <t xml:space="preserve">
=== CORRELATION DETAILS ===
Aeronave:   DeltaQuad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21" authorId="1" shapeId="0">
      <text>
        <t xml:space="preserve">
=== CORRELATION DETAILS ===
Aeronave:   DeltaQuad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21" authorId="1" shapeId="0">
      <text>
        <t xml:space="preserve">
=== CORRELATION DETAILS ===
Aeronave:   DeltaQuad Evo
Parámetro:   Rango de comunicación
Valor imputado:   nan
Confianza:   0
Corr:   0
k:   0
Tipo Modelo:   n/a
Predictores:   
Penalizacion_k:   0
Familia:   F2
Método predictivo:   Correlacion
Advertencia:   ❌ Todos los modelos descartados por LOOCV (MAPE &gt; 12.5% o R2 &lt;= 0.45)
Iteración imputación:   3
</t>
      </text>
    </comment>
    <comment ref="AE21" authorId="1" shapeId="0">
      <text>
        <t xml:space="preserve">
=== CORRELATION DETAILS ===
Aeronave:   DeltaQuad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1" authorId="1" shapeId="0">
      <text>
        <t xml:space="preserve">
=== CORRELATION DETAILS ===
Aeronave:   DeltaQuad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1" authorId="1" shapeId="0">
      <text>
        <t xml:space="preserve">
=== CORRELATION DETAILS ===
Aeronave:   DeltaQuad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1" authorId="1" shapeId="0">
      <text>
        <t xml:space="preserve">
=== CORRELATION DETAILS ===
Aeronave:   DeltaQuad Evo
Parámetro:   Consumo
Valor imputado:   nan
Confianza:   0
Corr:   0
k:   0
Tipo Modelo:   n/a
Predictores:   
Penalizacion_k:   0
Familia:   sin filtro
Método predictivo:   Correlacion
Advertencia:   ❌ No se permite imputación sin filtro para esta celda.
Iteración imputación:   3
</t>
      </text>
    </comment>
    <comment ref="AI21" authorId="1" shapeId="0">
      <text>
        <t xml:space="preserve">
=== CORRELATION DETAILS ===
Aeronave:   DeltaQuad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1" authorId="1" shapeId="0">
      <text>
        <t xml:space="preserve">
=== CORRELATION DETAILS ===
Aeronave:   DeltaQuad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1" authorId="1" shapeId="0">
      <text>
        <t xml:space="preserve">
=== CORRELATION DETAILS ===
Aeronave:   DeltaQuad Evo
Parámetro:   Precio
Valor imputado:   nan
Confianza:   0
Corr:   0
k:   0
Tipo Modelo:   n/a
Predictores:   
Penalizacion_k:   0
Familia:   sin filtro
Método predictivo:   Correlacion
Advertencia:   ❌ No se permite imputación sin filtro para esta celda.
Iteración imputación:   3
</t>
      </text>
    </comment>
    <comment ref="AL21" authorId="1" shapeId="0">
      <text>
        <t xml:space="preserve">
=== CORRELATION DETAILS ===
Aeronave:   DeltaQuad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2" authorId="1" shapeId="0">
      <text>
        <t xml:space="preserve">
=== CORRELATION DETAILS ===
Aeronave:   DeltaQuad Pro #MAP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2" authorId="1" shapeId="0">
      <text>
        <t xml:space="preserve">
=== CORRELATION DETAILS ===
Aeronave:   DeltaQuad Pro #MAP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2" authorId="1" shapeId="0">
      <text>
        <t xml:space="preserve">=== CÁLCULO APLICADO ===
formula:   TAS_5000 = IAS / sqrt(σ_5000)
inputs:
    IAS:   16
    σ_5000:   0.862
</t>
      </text>
    </comment>
    <comment ref="F22" authorId="1" shapeId="0">
      <text>
        <t xml:space="preserve">
=== CORRELATION DETAILS ===
Aeronave:   DeltaQuad Pro #MAP
Parámetro:   Velocidad de pérdida limpia (m/s CAS)
Valor imputado:   nan
Confianza:   0
Corr:   0
k:   0
Tipo Modelo:   n/a
Predictores:   
Penalizacion_k:   0
Familia:   F1
Método predictivo:   Correlacion
Advertencia:   ❌ Todos los modelos descartados por LOOCV (MAPE &gt; 12.5% o R2 &lt;= 0.45)
Iteración imputación:   3
</t>
      </text>
    </comment>
    <comment ref="G22" authorId="1" shapeId="0">
      <text>
        <t xml:space="preserve">
=== CORRELATION DETAILS ===
Aeronave:   DeltaQuad Pro #MAP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2" authorId="1" shapeId="0">
      <text>
        <t xml:space="preserve">
=== CORRELATION DETAILS ===
Aeronave:   DeltaQuad Pro #MAP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2" authorId="1" shapeId="0">
      <text>
        <t xml:space="preserve">
=== CORRELATION DETAILS ===
Aeronave:   DeltaQuad Pro #MAP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2" authorId="1" shapeId="0">
      <text>
        <t xml:space="preserve">
=== CORRELATION DETAILS ===
Aeronave:   DeltaQuad Pro #MAP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22" authorId="2" shapeId="0">
      <text>
        <t>[Verificación] R ≈ (h · 3600 · IAS) / 1000
[Fórmula] Δrel = |A − B| / max(|A|, |B|, 1e−12) con A=R, B=(h·3600·V)/1000
[Normalización] Escala el error a porcentaje relativo de la magnitud observada.
[Sustitución] |100 − (1.83·3600·16)/1000| / max(|100|, |105.408|, 1e−12)
[Resultado] Δrel=0.0513054 (5.13%); severidad: ajuste</t>
      </text>
    </comment>
    <comment ref="N22" authorId="2" shapeId="0">
      <text>
        <t>[Verificación] R ≈ (h · 3600 · IAS) / 1000
[Fórmula] Δrel = |A − B| / max(|A|, |B|, 1e−12) con A=R, B=(h·3600·V)/1000
[Normalización] Escala el error a porcentaje relativo de la magnitud observada.
[Sustitución] |100 − (1.83·3600·16)/1000| / max(|100|, |105.408|, 1e−12)
[Resultado] Δrel=0.0513054 (5.13%); severidad: ajuste</t>
      </text>
    </comment>
    <comment ref="O22" authorId="1" shapeId="0">
      <text>
        <t xml:space="preserve">=== IMPUTED VALUE ===
Aeronave:   DeltaQuad Pro #MAP
Parámetro:   Velocidad máxima (m/s IAS)
Valor imputado:   38.9
Confianza:   0.348
Método predictivo:   Correlacion
Iteración imputación:   1
variable_independiente_1:   100
=== CORRELATION DETAILS ===
Aeronave:   DeltaQuad Pro #MAP
Parámetro:   Velocidad máxima (m/s IAS)
Valor imputado:   38.9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100
</t>
      </text>
    </comment>
    <comment ref="P22" authorId="1" shapeId="0">
      <text>
        <t xml:space="preserve">
=== CORRELATION DETAILS ===
Aeronave:   DeltaQuad Pro #MAP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2" authorId="1" shapeId="0">
      <text>
        <t xml:space="preserve">
=== CORRELATION DETAILS ===
Aeronave:   DeltaQuad Pro #MAP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2" authorId="1" shapeId="0">
      <text>
        <t xml:space="preserve">
=== CORRELATION DETAILS ===
Aeronave:   DeltaQuad Pro #MAP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2" authorId="1" shapeId="0">
      <text>
        <t xml:space="preserve">
=== CORRELATION DETAILS ===
Aeronave:   DeltaQuad Pro #MAP
Parámetro:   Cuerda
Valor imputado:   nan
Confianza:   0
Corr:   0
k:   0
Tipo Modelo:   n/a
Predictores:   
Penalizacion_k:   0
Familia:   sin filtro
Método predictivo:   Correlacion
Advertencia:   ❌ No se permite imputación sin filtro para esta celda.
Iteración imputación:   3
</t>
      </text>
    </comment>
    <comment ref="V22" authorId="1" shapeId="0">
      <text>
        <t xml:space="preserve">
=== CORRELATION DETAILS ===
Aeronave:   DeltaQuad Pro #MAP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22" authorId="2" shapeId="0">
      <text>
        <t>[Verificación] R ≈ (h · 3600 · IAS) / 1000
[Fórmula] Δrel = |A − B| / max(|A|, |B|, 1e−12) con A=R, B=(h·3600·V)/1000
[Normalización] Escala el error a porcentaje relativo de la magnitud observada.
[Sustitución] |100 − (1.83·3600·16)/1000| / max(|100|, |105.408|, 1e−12)
[Resultado] Δrel=0.0513054 (5.13%); severidad: ajuste</t>
      </text>
    </comment>
    <comment ref="X22" authorId="1" shapeId="0">
      <text>
        <t xml:space="preserve">
=== CORRELATION DETAILS ===
Aeronave:   DeltaQuad Pro #MAP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2" authorId="1" shapeId="0">
      <text>
        <t xml:space="preserve">
=== CORRELATION DETAILS ===
Aeronave:   DeltaQuad Pro #MAP
Parámetro:   Peso frame
Valor imputado:   nan
Confianza:   0
Corr:   0
k:   0
Tipo Modelo:   n/a
Predictores:   
Penalizacion_k:   0
Familia:   sin filtro
Método predictivo:   Correlacion
Advertencia:   ❌ No se permite imputación sin filtro para esta celda.
Iteración imputación:   3
</t>
      </text>
    </comment>
    <comment ref="Z22" authorId="1" shapeId="0">
      <text>
        <t xml:space="preserve">
=== CORRELATION DETAILS ===
Aeronave:   DeltaQuad Pro #MAP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22" authorId="1" shapeId="0">
      <text>
        <t xml:space="preserve">=== CÁLCULO APLICADO ===
formula:   W0 = MTOW - Payload
inputs:
    MTOW:   6.2
    Payload:   1.2
</t>
      </text>
    </comment>
    <comment ref="AB22" authorId="1" shapeId="0">
      <text>
        <t xml:space="preserve">
=== CORRELATION DETAILS ===
Aeronave:   DeltaQuad Pro #MAP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22" authorId="1" shapeId="0">
      <text>
        <t xml:space="preserve">
=== CORRELATION DETAILS ===
Aeronave:   DeltaQuad Pro #MAP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2" authorId="1" shapeId="0">
      <text>
        <t xml:space="preserve">
=== CORRELATION DETAILS ===
Aeronave:   DeltaQuad Pro #MAP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2" authorId="1" shapeId="0">
      <text>
        <t xml:space="preserve">
=== CORRELATION DETAILS ===
Aeronave:   DeltaQuad Pro #MAP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22" authorId="1" shapeId="0">
      <text>
        <t xml:space="preserve">
=== CORRELATION DETAILS ===
Aeronave:   DeltaQuad Pro #MAP
Parámetro:   Consumo
Valor imputado:   nan
Confianza:   0
Corr:   0
k:   0
Tipo Modelo:   n/a
Predictores:   
Penalizacion_k:   0
Familia:   sin filtro
Método predictivo:   Correlacion
Advertencia:   ❌ No se permite imputación sin filtro para esta celda.
Iteración imputación:   3
</t>
      </text>
    </comment>
    <comment ref="AI22" authorId="1" shapeId="0">
      <text>
        <t xml:space="preserve">
=== CORRELATION DETAILS ===
Aeronave:   DeltaQuad Pro #MAP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2" authorId="1" shapeId="0">
      <text>
        <t xml:space="preserve">
=== CORRELATION DETAILS ===
Aeronave:   DeltaQuad Pro #MAP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2" authorId="1" shapeId="0">
      <text>
        <t xml:space="preserve">
=== CORRELATION DETAILS ===
Aeronave:   DeltaQuad Pro #MAP
Parámetro:   Precio
Valor imputado:   nan
Confianza:   0
Corr:   0
k:   0
Tipo Modelo:   n/a
Predictores:   
Penalizacion_k:   0
Familia:   sin filtro
Método predictivo:   Correlacion
Advertencia:   ❌ No se permite imputación sin filtro para esta celda.
Iteración imputación:   3
</t>
      </text>
    </comment>
    <comment ref="AL22" authorId="1" shapeId="0">
      <text>
        <t xml:space="preserve">
=== CORRELATION DETAILS ===
Aeronave:   DeltaQuad Pro #MAP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3" authorId="1" shapeId="0">
      <text>
        <t xml:space="preserve">
=== CORRELATION DETAILS ===
Aeronave:   DeltaQuad Pro #CARGO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3" authorId="1" shapeId="0">
      <text>
        <t xml:space="preserve">
=== CORRELATION DETAILS ===
Aeronave:   DeltaQuad Pro #CARGO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3" authorId="1" shapeId="0">
      <text>
        <t xml:space="preserve">=== CÁLCULO APLICADO ===
formula:   TAS_5000 = IAS / sqrt(σ_5000)
inputs:
    IAS:   16
    σ_5000:   0.862
</t>
      </text>
    </comment>
    <comment ref="F23" authorId="1" shapeId="0">
      <text>
        <t xml:space="preserve">
=== CORRELATION DETAILS ===
Aeronave:   DeltaQuad Pro #CARGO
Parámetro:   Velocidad de pérdida limpia (m/s CAS)
Valor imputado:   nan
Confianza:   0
Corr:   0
k:   0
Tipo Modelo:   n/a
Predictores:   
Penalizacion_k:   0
Familia:   F1
Método predictivo:   Correlacion
Advertencia:   ❌ Todos los modelos descartados por LOOCV (MAPE &gt; 12.5% o R2 &lt;= 0.45)
Iteración imputación:   3
</t>
      </text>
    </comment>
    <comment ref="G23" authorId="1" shapeId="0">
      <text>
        <t xml:space="preserve">
=== CORRELATION DETAILS ===
Aeronave:   DeltaQuad Pro #CARGO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3" authorId="1" shapeId="0">
      <text>
        <t xml:space="preserve">
=== CORRELATION DETAILS ===
Aeronave:   DeltaQuad Pro #CARGO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3" authorId="1" shapeId="0">
      <text>
        <t xml:space="preserve">
=== CORRELATION DETAILS ===
Aeronave:   DeltaQuad Pro #CARGO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3" authorId="1" shapeId="0">
      <text>
        <t xml:space="preserve">
=== CORRELATION DETAILS ===
Aeronave:   DeltaQuad Pro #CARGO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23" authorId="2" shapeId="0">
      <text>
        <t>[Verificación] R ≈ (h · 3600 · IAS) / 1000
[Fórmula] Δrel = |A − B| / max(|A|, |B|, 1e−12) con A=R, B=(h·3600·V)/1000
[Normalización] Escala el error a porcentaje relativo de la magnitud observada.
[Sustitución] |100 − (1.83·3600·16)/1000| / max(|100|, |105.408|, 1e−12)
[Resultado] Δrel=0.0513054 (5.13%); severidad: ajuste</t>
      </text>
    </comment>
    <comment ref="N23" authorId="2" shapeId="0">
      <text>
        <t>[Verificación] R ≈ (h · 3600 · IAS) / 1000
[Fórmula] Δrel = |A − B| / max(|A|, |B|, 1e−12) con A=R, B=(h·3600·V)/1000
[Normalización] Escala el error a porcentaje relativo de la magnitud observada.
[Sustitución] |100 − (1.83·3600·16)/1000| / max(|100|, |105.408|, 1e−12)
[Resultado] Δrel=0.0513054 (5.13%); severidad: ajuste</t>
      </text>
    </comment>
    <comment ref="O23" authorId="1" shapeId="0">
      <text>
        <t xml:space="preserve">=== IMPUTED VALUE ===
Aeronave:   DeltaQuad Pro #CARGO
Parámetro:   Velocidad máxima (m/s IAS)
Valor imputado:   38.9
Confianza:   0.348
Método predictivo:   Correlacion
Iteración imputación:   1
variable_independiente_1:   100
=== CORRELATION DETAILS ===
Aeronave:   DeltaQuad Pro #CARGO
Parámetro:   Velocidad máxima (m/s IAS)
Valor imputado:   38.9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100
</t>
      </text>
    </comment>
    <comment ref="P23" authorId="1" shapeId="0">
      <text>
        <t xml:space="preserve">
=== CORRELATION DETAILS ===
Aeronave:   DeltaQuad Pro #CARGO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3" authorId="1" shapeId="0">
      <text>
        <t xml:space="preserve">
=== CORRELATION DETAILS ===
Aeronave:   DeltaQuad Pro #CARGO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3" authorId="1" shapeId="0">
      <text>
        <t xml:space="preserve">
=== CORRELATION DETAILS ===
Aeronave:   DeltaQuad Pro #CARGO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3" authorId="1" shapeId="0">
      <text>
        <t xml:space="preserve">
=== CORRELATION DETAILS ===
Aeronave:   DeltaQuad Pro #CARGO
Parámetro:   Cuerda
Valor imputado:   nan
Confianza:   0
Corr:   0
k:   0
Tipo Modelo:   n/a
Predictores:   
Penalizacion_k:   0
Familia:   sin filtro
Método predictivo:   Correlacion
Advertencia:   ❌ No se permite imputación sin filtro para esta celda.
Iteración imputación:   3
</t>
      </text>
    </comment>
    <comment ref="V23" authorId="1" shapeId="0">
      <text>
        <t xml:space="preserve">
=== CORRELATION DETAILS ===
Aeronave:   DeltaQuad Pro #CARGO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23" authorId="2" shapeId="0">
      <text>
        <t>[Verificación] R ≈ (h · 3600 · IAS) / 1000
[Fórmula] Δrel = |A − B| / max(|A|, |B|, 1e−12) con A=R, B=(h·3600·V)/1000
[Normalización] Escala el error a porcentaje relativo de la magnitud observada.
[Sustitución] |100 − (1.83·3600·16)/1000| / max(|100|, |105.408|, 1e−12)
[Resultado] Δrel=0.0513054 (5.13%); severidad: ajuste</t>
      </text>
    </comment>
    <comment ref="X23" authorId="1" shapeId="0">
      <text>
        <t xml:space="preserve">
=== CORRELATION DETAILS ===
Aeronave:   DeltaQuad Pro #CARGO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3" authorId="1" shapeId="0">
      <text>
        <t xml:space="preserve">
=== CORRELATION DETAILS ===
Aeronave:   DeltaQuad Pro #CARGO
Parámetro:   Peso frame
Valor imputado:   nan
Confianza:   0
Corr:   0
k:   0
Tipo Modelo:   n/a
Predictores:   
Penalizacion_k:   0
Familia:   sin filtro
Método predictivo:   Correlacion
Advertencia:   ❌ No se permite imputación sin filtro para esta celda.
Iteración imputación:   3
</t>
      </text>
    </comment>
    <comment ref="Z23" authorId="1" shapeId="0">
      <text>
        <t xml:space="preserve">
=== CORRELATION DETAILS ===
Aeronave:   DeltaQuad Pro #CARGO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23" authorId="1" shapeId="0">
      <text>
        <t xml:space="preserve">=== CÁLCULO APLICADO ===
formula:   W0 = MTOW - Payload
inputs:
    MTOW:   6.2
    Payload:   1.2
</t>
      </text>
    </comment>
    <comment ref="AB23" authorId="1" shapeId="0">
      <text>
        <t xml:space="preserve">
=== CORRELATION DETAILS ===
Aeronave:   DeltaQuad Pro #CARGO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23" authorId="1" shapeId="0">
      <text>
        <t xml:space="preserve">
=== CORRELATION DETAILS ===
Aeronave:   DeltaQuad Pro #CARGO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3" authorId="1" shapeId="0">
      <text>
        <t xml:space="preserve">
=== CORRELATION DETAILS ===
Aeronave:   DeltaQuad Pro #CARGO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3" authorId="1" shapeId="0">
      <text>
        <t xml:space="preserve">
=== CORRELATION DETAILS ===
Aeronave:   DeltaQuad Pro #CARGO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23" authorId="1" shapeId="0">
      <text>
        <t xml:space="preserve">
=== CORRELATION DETAILS ===
Aeronave:   DeltaQuad Pro #CARGO
Parámetro:   Consumo
Valor imputado:   nan
Confianza:   0
Corr:   0
k:   0
Tipo Modelo:   n/a
Predictores:   
Penalizacion_k:   0
Familia:   sin filtro
Método predictivo:   Correlacion
Advertencia:   ❌ No se permite imputación sin filtro para esta celda.
Iteración imputación:   3
</t>
      </text>
    </comment>
    <comment ref="AI23" authorId="1" shapeId="0">
      <text>
        <t xml:space="preserve">
=== CORRELATION DETAILS ===
Aeronave:   DeltaQuad Pro #CARGO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3" authorId="1" shapeId="0">
      <text>
        <t xml:space="preserve">
=== CORRELATION DETAILS ===
Aeronave:   DeltaQuad Pro #CARGO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3" authorId="1" shapeId="0">
      <text>
        <t xml:space="preserve">
=== CORRELATION DETAILS ===
Aeronave:   DeltaQuad Pro #CARGO
Parámetro:   Precio
Valor imputado:   nan
Confianza:   0
Corr:   0
k:   0
Tipo Modelo:   n/a
Predictores:   
Penalizacion_k:   0
Familia:   sin filtro
Método predictivo:   Correlacion
Advertencia:   ❌ No se permite imputación sin filtro para esta celda.
Iteración imputación:   3
</t>
      </text>
    </comment>
    <comment ref="AL23" authorId="1" shapeId="0">
      <text>
        <t xml:space="preserve">
=== CORRELATION DETAILS ===
Aeronave:   DeltaQuad Pro #CARGO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4" authorId="1" shapeId="0">
      <text>
        <t xml:space="preserve">
=== CORRELATION DETAILS ===
Aeronave:   V21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4" authorId="1" shapeId="0">
      <text>
        <t xml:space="preserve">
=== CORRELATION DETAILS ===
Aeronave:   V21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4" authorId="1" shapeId="0">
      <text>
        <t xml:space="preserve">=== CÁLCULO APLICADO ===
formula:   TAS_5000 = IAS / sqrt(σ_5000)
inputs:
    IAS:   18
    σ_5000:   0.862
</t>
      </text>
    </comment>
    <comment ref="H24" authorId="1" shapeId="0">
      <text>
        <t xml:space="preserve">
=== CORRELATION DETAILS ===
Aeronave:   V21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4" authorId="1" shapeId="0">
      <text>
        <t xml:space="preserve">
=== CORRELATION DETAILS ===
Aeronave:   V21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4" authorId="1" shapeId="0">
      <text>
        <t xml:space="preserve">
=== CORRELATION DETAILS ===
Aeronave:   V21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24" authorId="1" shapeId="0">
      <text>
        <t xml:space="preserve">=== CÁLCULO APLICADO ===
formula:   R[km] = h*3600*V/1000
inputs:
    Autonomía[h]:   3
    Velocidad[m/s]:   18
</t>
      </text>
    </comment>
    <comment ref="Q24" authorId="1" shapeId="0">
      <text>
        <t xml:space="preserve">
=== CORRELATION DETAILS ===
Aeronave:   V21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4" authorId="1" shapeId="0">
      <text>
        <t xml:space="preserve">
=== CORRELATION DETAILS ===
Aeronave:   V21
Parámetro:   Cuerda
Valor imputado:   nan
Confianza:   0
Corr:   0
k:   0
Tipo Modelo:   n/a
Predictores:   
Penalizacion_k:   0
Familia:   sin filtro
Método predictivo:   Correlacion
Advertencia:   ❌ No se permite imputación sin filtro para esta celda.
Iteración imputación:   3
</t>
      </text>
    </comment>
    <comment ref="V24" authorId="1" shapeId="0">
      <text>
        <t xml:space="preserve">
=== CORRELATION DETAILS ===
Aeronave:   V21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4" authorId="1" shapeId="0">
      <text>
        <t xml:space="preserve">
=== CORRELATION DETAILS ===
Aeronave:   V21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4" authorId="1" shapeId="0">
      <text>
        <t xml:space="preserve">
=== CORRELATION DETAILS ===
Aeronave:   V21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24" authorId="1" shapeId="0">
      <text>
        <t xml:space="preserve">=== CÁLCULO APLICADO ===
formula:   W0 = MTOW - Payload
inputs:
    MTOW:   10
    Payload:   1.5
</t>
      </text>
    </comment>
    <comment ref="AB24" authorId="1" shapeId="0">
      <text>
        <t xml:space="preserve">
=== CORRELATION DETAILS ===
Aeronave:   V21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4" authorId="1" shapeId="0">
      <text>
        <t xml:space="preserve">
=== CORRELATION DETAILS ===
Aeronave:   V21
Parámetro:   Maximum Crosswind (sostenido)
Valor imputado:   nan
Confianza:   0
Corr:   0
k:   0
Tipo Modelo:   n/a
Predictores:   
Penalizacion_k:   0
Familia:   F2
Método predictivo:   Correlacion
Advertencia:   ❌ Todos los modelos descartados por LOOCV (MAPE &gt; 12.5% o R2 &lt;= 0.45)
Iteración imputación:   3
</t>
      </text>
    </comment>
    <comment ref="AF24" authorId="1" shapeId="0">
      <text>
        <t xml:space="preserve">
=== CORRELATION DETAILS ===
Aeronave:   V21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4" authorId="1" shapeId="0">
      <text>
        <t xml:space="preserve">
=== CORRELATION DETAILS ===
Aeronave:   V21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24" authorId="1" shapeId="0">
      <text>
        <t xml:space="preserve">
=== CORRELATION DETAILS ===
Aeronave:   V21
Parámetro:   Consumo
Valor imputado:   nan
Confianza:   0
Corr:   0
k:   0
Tipo Modelo:   n/a
Predictores:   
Penalizacion_k:   0
Familia:   sin filtro
Método predictivo:   Correlacion
Advertencia:   ❌ No se permite imputación sin filtro para esta celda.
Iteración imputación:   3
</t>
      </text>
    </comment>
    <comment ref="AI24" authorId="1" shapeId="0">
      <text>
        <t xml:space="preserve">
=== CORRELATION DETAILS ===
Aeronave:   V21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4" authorId="1" shapeId="0">
      <text>
        <t xml:space="preserve">
=== CORRELATION DETAILS ===
Aeronave:   V21
Parámetro:   Potencia HP
Valor imputado:   nan
Confianza:   0
Corr:   0
k:   0
Tipo Modelo:   n/a
Predictores:   
Penalizacion_k:   0
Familia:   sin filtro
Método predictivo:   Correlacion
Advertencia:   ❌ No se permite imputación sin filtro para esta celda.
Iteración imputación:   3
</t>
      </text>
    </comment>
    <comment ref="B25" authorId="1" shapeId="0">
      <text>
        <t xml:space="preserve">
=== CORRELATION DETAILS ===
Aeronave:   V25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5" authorId="1" shapeId="0">
      <text>
        <t xml:space="preserve">
=== CORRELATION DETAILS ===
Aeronave:   V25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5" authorId="1" shapeId="0">
      <text>
        <t xml:space="preserve">=== CÁLCULO APLICADO ===
formula:   TAS_5000 = IAS / sqrt(σ_5000)
inputs:
    IAS:   20
    σ_5000:   0.862
</t>
      </text>
    </comment>
    <comment ref="H25" authorId="1" shapeId="0">
      <text>
        <t xml:space="preserve">
=== CORRELATION DETAILS ===
Aeronave:   V25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5" authorId="1" shapeId="0">
      <text>
        <t xml:space="preserve">
=== CORRELATION DETAILS ===
Aeronave:   V25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5" authorId="1" shapeId="0">
      <text>
        <t xml:space="preserve">
=== CORRELATION DETAILS ===
Aeronave:   V25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25" authorId="1" shapeId="0">
      <text>
        <t xml:space="preserve">=== CÁLCULO APLICADO ===
formula:   R[km] = h*3600*V/1000
inputs:
    Autonomía[h]:   4
    Velocidad[m/s]:   20
</t>
      </text>
    </comment>
    <comment ref="Q25" authorId="1" shapeId="0">
      <text>
        <t xml:space="preserve">
=== CORRELATION DETAILS ===
Aeronave:   V25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5" authorId="1" shapeId="0">
      <text>
        <t xml:space="preserve">
=== CORRELATION DETAILS ===
Aeronave:   V25
Parámetro:   Cuerda
Valor imputado:   nan
Confianza:   0
Corr:   0
k:   0
Tipo Modelo:   n/a
Predictores:   
Penalizacion_k:   0
Familia:   sin filtro
Método predictivo:   Correlacion
Advertencia:   ❌ No se permite imputación sin filtro para esta celda.
Iteración imputación:   3
</t>
      </text>
    </comment>
    <comment ref="V25" authorId="1" shapeId="0">
      <text>
        <t xml:space="preserve">
=== CORRELATION DETAILS ===
Aeronave:   V25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5" authorId="1" shapeId="0">
      <text>
        <t xml:space="preserve">
=== CORRELATION DETAILS ===
Aeronave:   V25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5" authorId="1" shapeId="0">
      <text>
        <t xml:space="preserve">
=== CORRELATION DETAILS ===
Aeronave:   V25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25" authorId="1" shapeId="0">
      <text>
        <t xml:space="preserve">=== CÁLCULO APLICADO ===
formula:   W0 = MTOW - Payload
inputs:
    MTOW:   12.5
    Payload:   2.2
</t>
      </text>
    </comment>
    <comment ref="AB25" authorId="1" shapeId="0">
      <text>
        <t xml:space="preserve">
=== CORRELATION DETAILS ===
Aeronave:   V25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5" authorId="1" shapeId="0">
      <text>
        <t xml:space="preserve">
=== CORRELATION DETAILS ===
Aeronave:   V25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F25" authorId="1" shapeId="0">
      <text>
        <t xml:space="preserve">
=== CORRELATION DETAILS ===
Aeronave:   V25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5" authorId="1" shapeId="0">
      <text>
        <t xml:space="preserve">
=== CORRELATION DETAILS ===
Aeronave:   V25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25" authorId="1" shapeId="0">
      <text>
        <t xml:space="preserve">
=== CORRELATION DETAILS ===
Aeronave:   V25
Parámetro:   Consumo
Valor imputado:   nan
Confianza:   0
Corr:   0
k:   0
Tipo Modelo:   n/a
Predictores:   
Penalizacion_k:   0
Familia:   sin filtro
Método predictivo:   Correlacion
Advertencia:   ❌ No se permite imputación sin filtro para esta celda.
Iteración imputación:   3
</t>
      </text>
    </comment>
    <comment ref="AI25" authorId="1" shapeId="0">
      <text>
        <t xml:space="preserve">
=== CORRELATION DETAILS ===
Aeronave:   V25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5" authorId="1" shapeId="0">
      <text>
        <t xml:space="preserve">
=== CORRELATION DETAILS ===
Aeronave:   V25
Parámetro:   Potencia HP
Valor imputado:   nan
Confianza:   0
Corr:   0
k:   0
Tipo Modelo:   n/a
Predictores:   
Penalizacion_k:   0
Familia:   sin filtro
Método predictivo:   Correlacion
Advertencia:   ❌ No se permite imputación sin filtro para esta celda.
Iteración imputación:   3
</t>
      </text>
    </comment>
    <comment ref="B26" authorId="1" shapeId="0">
      <text>
        <t xml:space="preserve">
=== CORRELATION DETAILS ===
Aeronave:   V32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6" authorId="1" shapeId="0">
      <text>
        <t xml:space="preserve">
=== CORRELATION DETAILS ===
Aeronave:   V32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6" authorId="1" shapeId="0">
      <text>
        <t xml:space="preserve">=== CÁLCULO APLICADO ===
formula:   TAS_5000 = IAS / sqrt(σ_5000)
inputs:
    IAS:   20
    σ_5000:   0.862
</t>
      </text>
    </comment>
    <comment ref="G26" authorId="1" shapeId="0">
      <text>
        <t xml:space="preserve">=== IMPUTED VALUE ===
Aeronave:   V32
Parámetro:   Área del ala
Valor imputado:   0.949
Confianza:   0.246
Método predictivo:   Correlacion
Iteración imputación:   1
variable_independiente_1:   5
=== CORRELATION DETAILS ===
Aeronave:   V32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text>
    </comment>
    <comment ref="H26" authorId="1" shapeId="0">
      <text>
        <t xml:space="preserve">
=== CORRELATION DETAILS ===
Aeronave:   V32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6" authorId="1" shapeId="0">
      <text>
        <t xml:space="preserve">
=== CORRELATION DETAILS ===
Aeronave:   V32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6" authorId="1" shapeId="0">
      <text>
        <t xml:space="preserve">
=== CORRELATION DETAILS ===
Aeronave:   V32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26" authorId="1" shapeId="0">
      <text>
        <t xml:space="preserve">=== CÁLCULO APLICADO ===
formula:   R[km] = h*3600*V/1000
inputs:
    Autonomía[h]:   4.5
    Velocidad[m/s]:   20
</t>
      </text>
    </comment>
    <comment ref="Q26" authorId="1" shapeId="0">
      <text>
        <t xml:space="preserve">
=== CORRELATION DETAILS ===
Aeronave:   V32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6" authorId="1" shapeId="0">
      <text>
        <t xml:space="preserve">
=== CORRELATION DETAILS ===
Aeronave:   V32
Parámetro:   Cuerda
Valor imputado:   nan
Confianza:   0
Corr:   0
k:   0
Tipo Modelo:   n/a
Predictores:   
Penalizacion_k:   0
Familia:   sin filtro
Método predictivo:   Correlacion
Advertencia:   ❌ No se permite imputación sin filtro para esta celda.
Iteración imputación:   3
</t>
      </text>
    </comment>
    <comment ref="V26" authorId="1" shapeId="0">
      <text>
        <t xml:space="preserve">
=== CORRELATION DETAILS ===
Aeronave:   V32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6" authorId="1" shapeId="0">
      <text>
        <t xml:space="preserve">
=== CORRELATION DETAILS ===
Aeronave:   V32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6" authorId="1" shapeId="0">
      <text>
        <t xml:space="preserve">
=== CORRELATION DETAILS ===
Aeronave:   V32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26" authorId="1" shapeId="0">
      <text>
        <t xml:space="preserve">=== CÁLCULO APLICADO ===
formula:   W0 = MTOW - Payload
inputs:
    MTOW:   23.5
    Payload:   5
</t>
      </text>
    </comment>
    <comment ref="AB26" authorId="1" shapeId="0">
      <text>
        <t xml:space="preserve">
=== CORRELATION DETAILS ===
Aeronave:   V32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6" authorId="1" shapeId="0">
      <text>
        <t xml:space="preserve">
=== CORRELATION DETAILS ===
Aeronave:   V32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F26" authorId="1" shapeId="0">
      <text>
        <t xml:space="preserve">
=== CORRELATION DETAILS ===
Aeronave:   V32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6" authorId="1" shapeId="0">
      <text>
        <t xml:space="preserve">
=== CORRELATION DETAILS ===
Aeronave:   V32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26" authorId="1" shapeId="0">
      <text>
        <t xml:space="preserve">
=== CORRELATION DETAILS ===
Aeronave:   V32
Parámetro:   Consumo
Valor imputado:   nan
Confianza:   0
Corr:   0
k:   0
Tipo Modelo:   n/a
Predictores:   
Penalizacion_k:   0
Familia:   sin filtro
Método predictivo:   Correlacion
Advertencia:   ❌ No se permite imputación sin filtro para esta celda.
Iteración imputación:   3
</t>
      </text>
    </comment>
    <comment ref="AI26" authorId="1" shapeId="0">
      <text>
        <t xml:space="preserve">
=== CORRELATION DETAILS ===
Aeronave:   V32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6" authorId="1" shapeId="0">
      <text>
        <t xml:space="preserve">
=== CORRELATION DETAILS ===
Aeronave:   V32
Parámetro:   Potencia HP
Valor imputado:   nan
Confianza:   0
Corr:   0
k:   0
Tipo Modelo:   n/a
Predictores:   
Penalizacion_k:   0
Familia:   sin filtro
Método predictivo:   Correlacion
Advertencia:   ❌ No se permite imputación sin filtro para esta celda.
Iteración imputación:   3
</t>
      </text>
    </comment>
    <comment ref="B27" authorId="1" shapeId="0">
      <text>
        <t xml:space="preserve">
=== CORRELATION DETAILS ===
Aeronave:   V35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7" authorId="1" shapeId="0">
      <text>
        <t xml:space="preserve">
=== CORRELATION DETAILS ===
Aeronave:   V35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7" authorId="1" shapeId="0">
      <text>
        <t xml:space="preserve">=== CÁLCULO APLICADO ===
formula:   TAS_5000 = IAS / sqrt(σ_5000)
inputs:
    IAS:   25
    σ_5000:   0.862
</t>
      </text>
    </comment>
    <comment ref="G27" authorId="1" shapeId="0">
      <text>
        <t xml:space="preserve">=== IMPUTED VALUE ===
Aeronave:   V35
Parámetro:   Área del ala
Valor imputado:   1.37
Confianza:   0.246
Método predictivo:   Correlacion
Iteración imputación:   1
variable_independiente_1:   10
=== CORRELATION DETAILS ===
Aeronave:   V35
Parámetro:   Área del ala
Valor imputado:   1.37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10
</t>
      </text>
    </comment>
    <comment ref="H27" authorId="1" shapeId="0">
      <text>
        <t xml:space="preserve">
=== CORRELATION DETAILS ===
Aeronave:   V35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7" authorId="1" shapeId="0">
      <text>
        <t xml:space="preserve">
=== CORRELATION DETAILS ===
Aeronave:   V35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7" authorId="1" shapeId="0">
      <text>
        <t xml:space="preserve">
=== CORRELATION DETAILS ===
Aeronave:   V35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27" authorId="1" shapeId="0">
      <text>
        <t xml:space="preserve">=== CÁLCULO APLICADO ===
formula:   R[km] = h*3600*V/1000
inputs:
    Autonomía[h]:   2.8
    Velocidad[m/s]:   25
</t>
      </text>
    </comment>
    <comment ref="P27" authorId="1" shapeId="0">
      <text>
        <t xml:space="preserve">
=== CORRELATION DETAILS ===
Aeronave:   V35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7" authorId="1" shapeId="0">
      <text>
        <t xml:space="preserve">
=== CORRELATION DETAILS ===
Aeronave:   V35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7" authorId="1" shapeId="0">
      <text>
        <t xml:space="preserve">
=== CORRELATION DETAILS ===
Aeronave:   V35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7" authorId="1" shapeId="0">
      <text>
        <t xml:space="preserve">
=== CORRELATION DETAILS ===
Aeronave:   V35
Parámetro:   Cuerda
Valor imputado:   nan
Confianza:   0
Corr:   0
k:   0
Tipo Modelo:   n/a
Predictores:   
Penalizacion_k:   0
Familia:   sin filtro
Método predictivo:   Correlacion
Advertencia:   ❌ No se permite imputación sin filtro para esta celda.
Iteración imputación:   3
</t>
      </text>
    </comment>
    <comment ref="V27" authorId="1" shapeId="0">
      <text>
        <t xml:space="preserve">
=== CORRELATION DETAILS ===
Aeronave:   V35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7" authorId="1" shapeId="0">
      <text>
        <t xml:space="preserve">
=== CORRELATION DETAILS ===
Aeronave:   V35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7" authorId="1" shapeId="0">
      <text>
        <t xml:space="preserve">
=== CORRELATION DETAILS ===
Aeronave:   V35
Parámetro:   Peso frame
Valor imputado:   nan
Confianza:   0
Corr:   0
k:   0
Tipo Modelo:   n/a
Predictores:   
Penalizacion_k:   0
Familia:   sin filtro
Método predictivo:   Correlacion
Advertencia:   ❌ No se permite imputación sin filtro para esta celda.
Iteración imputación:   3
</t>
      </text>
    </comment>
    <comment ref="Z27" authorId="1" shapeId="0">
      <text>
        <t xml:space="preserve">
=== CORRELATION DETAILS ===
Aeronave:   V35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27" authorId="1" shapeId="0">
      <text>
        <t xml:space="preserve">=== CÁLCULO APLICADO ===
formula:   W0 = MTOW - Payload
inputs:
    MTOW:   32
    Payload:   10
</t>
      </text>
    </comment>
    <comment ref="AB27" authorId="1" shapeId="0">
      <text>
        <t xml:space="preserve">
=== CORRELATION DETAILS ===
Aeronave:   V35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7" authorId="1" shapeId="0">
      <text>
        <t xml:space="preserve">
=== CORRELATION DETAILS ===
Aeronave:   V35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7" authorId="1" shapeId="0">
      <text>
        <t xml:space="preserve">
=== CORRELATION DETAILS ===
Aeronave:   V35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7" authorId="1" shapeId="0">
      <text>
        <t xml:space="preserve">
=== CORRELATION DETAILS ===
Aeronave:   V35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7" authorId="1" shapeId="0">
      <text>
        <t xml:space="preserve">
=== CORRELATION DETAILS ===
Aeronave:   V35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27" authorId="1" shapeId="0">
      <text>
        <t xml:space="preserve">
=== CORRELATION DETAILS ===
Aeronave:   V35
Parámetro:   Consumo
Valor imputado:   nan
Confianza:   0
Corr:   0
k:   0
Tipo Modelo:   n/a
Predictores:   
Penalizacion_k:   0
Familia:   sin filtro
Método predictivo:   Correlacion
Advertencia:   ❌ No se permite imputación sin filtro para esta celda.
Iteración imputación:   3
</t>
      </text>
    </comment>
    <comment ref="AI27" authorId="1" shapeId="0">
      <text>
        <t xml:space="preserve">
=== CORRELATION DETAILS ===
Aeronave:   V35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7" authorId="1" shapeId="0">
      <text>
        <t xml:space="preserve">
=== CORRELATION DETAILS ===
Aeronave:   V35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7" authorId="1" shapeId="0">
      <text>
        <t xml:space="preserve">
=== CORRELATION DETAILS ===
Aeronave:   V35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8" authorId="1" shapeId="0">
      <text>
        <t xml:space="preserve">
=== CORRELATION DETAILS ===
Aeronave:   V39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8" authorId="1" shapeId="0">
      <text>
        <t xml:space="preserve">
=== CORRELATION DETAILS ===
Aeronave:   V39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8" authorId="1" shapeId="0">
      <text>
        <t xml:space="preserve">=== CÁLCULO APLICADO ===
formula:   TAS_5000 = IAS / sqrt(σ_5000)
inputs:
    IAS:   25
    σ_5000:   0.862
</t>
      </text>
    </comment>
    <comment ref="G28" authorId="1" shapeId="0">
      <text>
        <t xml:space="preserve">=== IMPUTED VALUE ===
Aeronave:   V39
Parámetro:   Área del ala
Valor imputado:   0.949
Confianza:   0.246
Método predictivo:   Correlacion
Iteración imputación:   1
variable_independiente_1:   5
=== CORRELATION DETAILS ===
Aeronave:   V39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text>
    </comment>
    <comment ref="H28" authorId="1" shapeId="0">
      <text>
        <t xml:space="preserve">
=== CORRELATION DETAILS ===
Aeronave:   V39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28" authorId="1" shapeId="0">
      <text>
        <t xml:space="preserve">=== IMPUTED VALUE ===
Aeronave:   V39
Parámetro:   Longitud del fuselaje
Valor imputado:   1
Confianza:   0.0392
Método predictivo:   Similitud
Iteración imputación:   1
variable_independiente_1:   None
=== SIMILARITY DETAILS ===
Aeronave:   V39
Parámetro:   Longitud del fuselaje
Valor imputado:   1
Confianza:   0.0392
Vecinos entrenamiento: [V32]
k:   1
Penalizacion_k:   0.0757
Confianza Similitud:   0.741
Confianza Datos:   0.053
Confianza CV:   0
CV:   1
Dispersión:   0
Advertencia:   k&lt;3, confianza_baja, alta_variabilidad
Método predictivo:   Similitud
Familia:   Filtrado directo
coeficientes_similitud: [0.741]
valores_vecinos: [1]
aeronaves_similares_detalle:
  - Item 1:
        aeronave:   V32
        coeficiente_similitud:   0.741
        valor_parametro:   1
        parametros_validos:   11
        familias_cumplidas:   3
        diferencias_promedio:   5.46
        razon_aceptacion:   Cumple las 3 familias
sim_vals: [0.741]
vecinos_predictores:
    Velocidad a la que se realiza el crucero (m/s TAS): [21.6]
    Techo de servicio máximo: [16000.000]
    Peso máximo al despegue (MTOW): [23.5]
    Alcance de la aeronave: [324]
    Autonomía de la aeronave: [4.5]
    Velocidad máxima (m/s IAS): [33]
    Velocidad de pérdida (m/s CAS): [17]
    Envergadura: [3.2]
    Payload: [5]
    Rango de comunicación: [30]
    Misión: [1]
    Despegue: [2]
Iteración imputación:   1
=== CORRELATION DETAILS ===
Aeronave:   V39
Parámetro:   Longitud del fuselaje
Valor imputado:   nan
Confianza:   0
Corr:   0
k:   0
Tipo Modelo:   n/a
Predictores:   
Penalizacion_k:   0
Familia:   sin filtro
Método predictivo:   Correlacion
Advertencia:   ❌ No se permite imputación sin filtro para esta celda.
Iteración imputación:   1
</t>
      </text>
    </comment>
    <comment ref="J28" authorId="1" shapeId="0">
      <text>
        <t xml:space="preserve">
=== CORRELATION DETAILS ===
Aeronave:   V39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8" authorId="1" shapeId="0">
      <text>
        <t xml:space="preserve">
=== CORRELATION DETAILS ===
Aeronave:   V39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28" authorId="1" shapeId="0">
      <text>
        <t xml:space="preserve">=== CÁLCULO APLICADO ===
formula:   R[km] = h*3600*V/1000
inputs:
    Autonomía[h]:   4.5
    Velocidad[m/s]:   25
</t>
      </text>
    </comment>
    <comment ref="P28" authorId="1" shapeId="0">
      <text>
        <t xml:space="preserve">=== IMPUTED VALUE ===
Aeronave:   V39
Parámetro:   Velocidad de pérdida (m/s CAS)
Valor imputado:   17
Confianza:   0.0392
Método predictivo:   Similitud
Iteración imputación:   1
variable_independiente_1:   None
=== SIMILARITY DETAILS ===
Aeronave:   V39
Parámetro:   Velocidad de pérdida (m/s CAS)
Valor imputado:   17
Confianza:   0.0392
Vecinos entrenamiento: [V32]
k:   1
Penalizacion_k:   0.0757
Confianza Similitud:   0.741
Confianza Datos:   0.053
Confianza CV:   0
CV:   1
Dispersión:   0
Advertencia:   k&lt;3, confianza_baja, alta_variabilidad
Método predictivo:   Similitud
Familia:   Filtrado directo
coeficientes_similitud: [0.741]
valores_vecinos: [17]
aeronaves_similares_detalle:
  - Item 1:
        aeronave:   V32
        coeficiente_similitud:   0.741
        valor_parametro:   17
        parametros_validos:   11
        familias_cumplidas:   3
        diferencias_promedio:   5.46
        razon_aceptacion:   Cumple las 3 familias
sim_vals: [0.741]
vecinos_predictores:
    Velocidad a la que se realiza el crucero (m/s TAS): [21.6]
    Techo de servicio máximo: [16000.000]
    Longitud del fuselaje: [1]
    Peso máximo al despegue (MTOW): [23.5]
    Alcance de la aeronave: [324]
    Autonomía de la aeronave: [4.5]
    Velocidad máxima (m/s IAS): [33]
    Envergadura: [3.2]
    Payload: [5]
    Rango de comunicación: [30]
    Misión: [1]
    Despegue: [2]
Iteración imputación:   1
=== CORRELATION DETAILS ===
Aeronave:   V39
Parámetro:   Velocidad de pérdida (m/s CAS)
Valor imputado:   nan
Confianza:   0
Corr:   0
k:   0
Tipo Modelo:   n/a
Predictores:   
Penalizacion_k:   0
Familia:   sin filtro
Método predictivo:   Correlacion
Advertencia:   ❌ No se permite imputación sin filtro para esta celda.
Iteración imputación:   1
</t>
      </text>
    </comment>
    <comment ref="Q28" authorId="1" shapeId="0">
      <text>
        <t xml:space="preserve">
=== CORRELATION DETAILS ===
Aeronave:   V39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8" authorId="1" shapeId="0">
      <text>
        <t xml:space="preserve">
=== CORRELATION DETAILS ===
Aeronave:   V39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8" authorId="1" shapeId="0">
      <text>
        <t xml:space="preserve">
=== CORRELATION DETAILS ===
Aeronave:   V39
Parámetro:   Cuerda
Valor imputado:   nan
Confianza:   0
Corr:   0
k:   0
Tipo Modelo:   n/a
Predictores:   
Penalizacion_k:   0
Familia:   sin filtro
Método predictivo:   Correlacion
Advertencia:   ❌ No se permite imputación sin filtro para esta celda.
Iteración imputación:   3
</t>
      </text>
    </comment>
    <comment ref="V28" authorId="1" shapeId="0">
      <text>
        <t xml:space="preserve">
=== CORRELATION DETAILS ===
Aeronave:   V39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8" authorId="1" shapeId="0">
      <text>
        <t xml:space="preserve">
=== CORRELATION DETAILS ===
Aeronave:   V39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8" authorId="1" shapeId="0">
      <text>
        <t xml:space="preserve">
=== CORRELATION DETAILS ===
Aeronave:   V39
Parámetro:   Peso frame
Valor imputado:   nan
Confianza:   0
Corr:   0
k:   0
Tipo Modelo:   n/a
Predictores:   
Penalizacion_k:   0
Familia:   sin filtro
Método predictivo:   Correlacion
Advertencia:   ❌ No se permite imputación sin filtro para esta celda.
Iteración imputación:   3
</t>
      </text>
    </comment>
    <comment ref="Z28" authorId="1" shapeId="0">
      <text>
        <t xml:space="preserve">
=== CORRELATION DETAILS ===
Aeronave:   V39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28" authorId="1" shapeId="0">
      <text>
        <t xml:space="preserve">=== CÁLCULO APLICADO ===
formula:   W0 = MTOW - Payload
inputs:
    MTOW:   24
    Payload:   5
</t>
      </text>
    </comment>
    <comment ref="AB28" authorId="1" shapeId="0">
      <text>
        <t xml:space="preserve">
=== CORRELATION DETAILS ===
Aeronave:   V39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8" authorId="1" shapeId="0">
      <text>
        <t xml:space="preserve">
=== CORRELATION DETAILS ===
Aeronave:   V39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8" authorId="1" shapeId="0">
      <text>
        <t xml:space="preserve">
=== CORRELATION DETAILS ===
Aeronave:   V39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8" authorId="1" shapeId="0">
      <text>
        <t xml:space="preserve">
=== CORRELATION DETAILS ===
Aeronave:   V39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8" authorId="1" shapeId="0">
      <text>
        <t xml:space="preserve">
=== CORRELATION DETAILS ===
Aeronave:   V39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28" authorId="1" shapeId="0">
      <text>
        <t xml:space="preserve">
=== CORRELATION DETAILS ===
Aeronave:   V39
Parámetro:   Consumo
Valor imputado:   nan
Confianza:   0
Corr:   0
k:   0
Tipo Modelo:   n/a
Predictores:   
Penalizacion_k:   0
Familia:   sin filtro
Método predictivo:   Correlacion
Advertencia:   ❌ No se permite imputación sin filtro para esta celda.
Iteración imputación:   3
</t>
      </text>
    </comment>
    <comment ref="AI28" authorId="1" shapeId="0">
      <text>
        <t xml:space="preserve">
=== CORRELATION DETAILS ===
Aeronave:   V39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8" authorId="1" shapeId="0">
      <text>
        <t xml:space="preserve">
=== CORRELATION DETAILS ===
Aeronave:   V39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8" authorId="1" shapeId="0">
      <text>
        <t xml:space="preserve">
=== CORRELATION DETAILS ===
Aeronave:   V39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9" authorId="1" shapeId="0">
      <text>
        <t xml:space="preserve">
=== CORRELATION DETAILS ===
Aeronave:   Volitation VT370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9" authorId="1" shapeId="0">
      <text>
        <t xml:space="preserve">
=== CORRELATION DETAILS ===
Aeronave:   Volitation VT370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9" authorId="1" shapeId="0">
      <text>
        <t xml:space="preserve">=== CÁLCULO APLICADO ===
formula:   TAS_5000 = IAS / sqrt(σ_5000)
inputs:
    IAS:   25
    σ_5000:   0.862
</t>
      </text>
    </comment>
    <comment ref="G29" authorId="1" shapeId="0">
      <text>
        <t xml:space="preserve">=== IMPUTED VALUE ===
Aeronave:   Volitation VT370
Parámetro:   Área del ala
Valor imputado:   2.04
Confianza:   0.246
Método predictivo:   Correlacion
Iteración imputación:   1
variable_independiente_1:   18
=== CORRELATION DETAILS ===
Aeronave:   Volitation VT370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text>
    </comment>
    <comment ref="H29" authorId="1" shapeId="0">
      <text>
        <t xml:space="preserve">
=== CORRELATION DETAILS ===
Aeronave:   Volitation VT370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9" authorId="1" shapeId="0">
      <text>
        <t xml:space="preserve">
=== CORRELATION DETAILS ===
Aeronave:   Volitation VT370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9" authorId="1" shapeId="0">
      <text>
        <t xml:space="preserve">
=== CORRELATION DETAILS ===
Aeronave:   Volitation VT370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9" authorId="1" shapeId="0">
      <text>
        <t xml:space="preserve">=== CÁLCULO APLICADO ===
formula:   R[km] = h*3600*V/1000
inputs:
    Autonomía[h]:   15
    Velocidad[m/s]:   25
</t>
      </text>
    </comment>
    <comment ref="P29" authorId="1" shapeId="0">
      <text>
        <t xml:space="preserve">
=== CORRELATION DETAILS ===
Aeronave:   Volitation VT370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9" authorId="1" shapeId="0">
      <text>
        <t xml:space="preserve">
=== CORRELATION DETAILS ===
Aeronave:   Volitation VT370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9" authorId="1" shapeId="0">
      <text>
        <t xml:space="preserve">
=== CORRELATION DETAILS ===
Aeronave:   Volitation VT370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29" authorId="3" shapeId="0">
      <text>
        <t>Comment:
Front wing – 2820 mm, 
Rear wing – 3744 mm</t>
      </text>
    </comment>
    <comment ref="T29" authorId="1" shapeId="0">
      <text>
        <t xml:space="preserve">
=== CORRELATION DETAILS ===
Aeronave:   Volitation VT370
Parámetro:   Cuerda
Valor imputado:   nan
Confianza:   0
Corr:   0
k:   0
Tipo Modelo:   n/a
Predictores:   
Penalizacion_k:   0
Familia:   sin filtro
Método predictivo:   Correlacion
Advertencia:   ❌ No se permite imputación sin filtro para esta celda.
Iteración imputación:   3
</t>
      </text>
    </comment>
    <comment ref="V29" authorId="1" shapeId="0">
      <text>
        <t xml:space="preserve">
=== CORRELATION DETAILS ===
Aeronave:   Volitation VT370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9" authorId="1" shapeId="0">
      <text>
        <t xml:space="preserve">
=== CORRELATION DETAILS ===
Aeronave:   Volitation VT370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9" authorId="1" shapeId="0">
      <text>
        <t xml:space="preserve">
=== CORRELATION DETAILS ===
Aeronave:   Volitation VT370
Parámetro:   Peso frame
Valor imputado:   nan
Confianza:   0
Corr:   0
k:   0
Tipo Modelo:   n/a
Predictores:   
Penalizacion_k:   0
Familia:   sin filtro
Método predictivo:   Correlacion
Advertencia:   ❌ No se permite imputación sin filtro para esta celda.
Iteración imputación:   3
</t>
      </text>
    </comment>
    <comment ref="Z29" authorId="1" shapeId="0">
      <text>
        <t xml:space="preserve">
=== CORRELATION DETAILS ===
Aeronave:   Volitation VT370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9" authorId="1" shapeId="0">
      <text>
        <t xml:space="preserve">=== CÁLCULO APLICADO ===
formula:   W0 = MTOW - Payload
inputs:
    MTOW:   40
    Payload:   18
</t>
      </text>
    </comment>
    <comment ref="AB29" authorId="1" shapeId="0">
      <text>
        <t xml:space="preserve">
=== CORRELATION DETAILS ===
Aeronave:   Volitation VT370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9" authorId="1" shapeId="0">
      <text>
        <t xml:space="preserve">
=== CORRELATION DETAILS ===
Aeronave:   Volitation VT370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29" authorId="1" shapeId="0">
      <text>
        <t xml:space="preserve">
=== CORRELATION DETAILS ===
Aeronave:   Volitation VT370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29" authorId="1" shapeId="0">
      <text>
        <t xml:space="preserve">
=== CORRELATION DETAILS ===
Aeronave:   Volitation VT370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9" authorId="1" shapeId="0">
      <text>
        <t xml:space="preserve">
=== CORRELATION DETAILS ===
Aeronave:   Volitation VT370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29" authorId="1" shapeId="0">
      <text>
        <t xml:space="preserve">
=== CORRELATION DETAILS ===
Aeronave:   Volitation VT370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9" authorId="1" shapeId="0">
      <text>
        <t xml:space="preserve">
=== CORRELATION DETAILS ===
Aeronave:   Volitation VT370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9" authorId="1" shapeId="0">
      <text>
        <t xml:space="preserve">
=== CORRELATION DETAILS ===
Aeronave:   Volitation VT370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0" authorId="1" shapeId="0">
      <text>
        <t xml:space="preserve">
=== CORRELATION DETAILS ===
Aeronave:   Skyeye 2600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0" authorId="1" shapeId="0">
      <text>
        <t xml:space="preserve">
=== CORRELATION DETAILS ===
Aeronave:   Skyeye 2600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0" authorId="1" shapeId="0">
      <text>
        <t xml:space="preserve">=== CÁLCULO APLICADO ===
formula:   TAS_5000 = IAS / sqrt(σ_5000)
inputs:
    IAS:   33
    σ_5000:   0.862
</t>
      </text>
    </comment>
    <comment ref="E30" authorId="1" shapeId="0">
      <text>
        <t xml:space="preserve">
=== CORRELATION DETAILS ===
Aeronave:   Skyeye 2600
Parámetro:   Techo de servicio máximo
Valor imputado:   nan
Confianza:   0
Corr:   0
k:   0
Tipo Modelo:   n/a
Predictores:   
Penalizacion_k:   0
Familia:   F0
Método predictivo:   Correlacion
Advertencia:   ❌ Todos los modelos descartados por LOOCV (MAPE &gt; 12.5% o R2 &lt;= 0.45)
Iteración imputación:   3
</t>
      </text>
    </comment>
    <comment ref="H30" authorId="1" shapeId="0">
      <text>
        <t xml:space="preserve">
=== CORRELATION DETAILS ===
Aeronave:   Skyeye 2600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0" authorId="1" shapeId="0">
      <text>
        <t xml:space="preserve">
=== CORRELATION DETAILS ===
Aeronave:   Skyeye 2600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0" authorId="1" shapeId="0">
      <text>
        <t xml:space="preserve">
=== CORRELATION DETAILS ===
Aeronave:   Skyeye 2600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30" authorId="1" shapeId="0">
      <text>
        <t xml:space="preserve">=== CÁLCULO APLICADO ===
formula:   R[km] = h*3600*V/1000
inputs:
    Autonomía[h]:   2
    Velocidad[m/s]:   33
</t>
      </text>
    </comment>
    <comment ref="O30" authorId="1" shapeId="0">
      <text>
        <t xml:space="preserve">=== IMPUTED VALUE ===
Aeronave:   Skyeye 2600
Parámetro:   Velocidad máxima (m/s IAS)
Valor imputado:   31.2
Confianza:   0.616
Método predictivo:   Correlacion
Iteración imputación:   1
variable_independiente_1:   15
=== CORRELATION DETAILS ===
Aeronave:   Skyeye 2600
Parámetro:   Velocidad máxima (m/s IAS)
Valor imputado:   31.2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15
</t>
      </text>
    </comment>
    <comment ref="Q30" authorId="1" shapeId="0">
      <text>
        <t xml:space="preserve">
=== CORRELATION DETAILS ===
Aeronave:   Skyeye 2600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0" authorId="1" shapeId="0">
      <text>
        <t xml:space="preserve">
=== CORRELATION DETAILS ===
Aeronave:   Skyeye 2600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0" authorId="1" shapeId="0">
      <text>
        <t xml:space="preserve">
=== CORRELATION DETAILS ===
Aeronave:   Skyeye 2600
Parámetro:   Cuerda
Valor imputado:   nan
Confianza:   0
Corr:   0
k:   0
Tipo Modelo:   n/a
Predictores:   
Penalizacion_k:   0
Familia:   sin filtro
Método predictivo:   Correlacion
Advertencia:   ❌ No se permite imputación sin filtro para esta celda.
Iteración imputación:   3
</t>
      </text>
    </comment>
    <comment ref="V30" authorId="1" shapeId="0">
      <text>
        <t xml:space="preserve">
=== CORRELATION DETAILS ===
Aeronave:   Skyeye 2600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0" authorId="1" shapeId="0">
      <text>
        <t xml:space="preserve">
=== CORRELATION DETAILS ===
Aeronave:   Skyeye 2600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0" authorId="1" shapeId="0">
      <text>
        <t xml:space="preserve">
=== CORRELATION DETAILS ===
Aeronave:   Skyeye 2600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0" authorId="1" shapeId="0">
      <text>
        <t xml:space="preserve">=== CÁLCULO APLICADO ===
formula:   W0 = MTOW - Payload
inputs:
    MTOW:   15
    Payload:   4
</t>
      </text>
    </comment>
    <comment ref="AB30" authorId="1" shapeId="0">
      <text>
        <t xml:space="preserve">
=== CORRELATION DETAILS ===
Aeronave:   Skyeye 2600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0" authorId="1" shapeId="0">
      <text>
        <t xml:space="preserve">
=== CORRELATION DETAILS ===
Aeronave:   Skyeye 2600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0" authorId="1" shapeId="0">
      <text>
        <t xml:space="preserve">
=== CORRELATION DETAILS ===
Aeronave:   Skyeye 2600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0" authorId="1" shapeId="0">
      <text>
        <t xml:space="preserve">
=== CORRELATION DETAILS ===
Aeronave:   Skyeye 2600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0" authorId="1" shapeId="0">
      <text>
        <t xml:space="preserve">
=== CORRELATION DETAILS ===
Aeronave:   Skyeye 2600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0" authorId="1" shapeId="0">
      <text>
        <t xml:space="preserve">
=== CORRELATION DETAILS ===
Aeronave:   Skyeye 2600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0" authorId="1" shapeId="0">
      <text>
        <t xml:space="preserve">
=== CORRELATION DETAILS ===
Aeronave:   Skyeye 2600
Parámetro:   Consumo
Valor imputado:   nan
Confianza:   0
Corr:   0
k:   0
Tipo Modelo:   n/a
Predictores:   
Penalizacion_k:   0
Familia:   sin filtro
Método predictivo:   Correlacion
Advertencia:   ❌ No se permite imputación sin filtro para esta celda.
Iteración imputación:   3
</t>
      </text>
    </comment>
    <comment ref="AI30" authorId="1" shapeId="0">
      <text>
        <t xml:space="preserve">
=== CORRELATION DETAILS ===
Aeronave:   Skyeye 2600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0" authorId="1" shapeId="0">
      <text>
        <t xml:space="preserve">
=== CORRELATION DETAILS ===
Aeronave:   Skyeye 2600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0" authorId="1" shapeId="0">
      <text>
        <t xml:space="preserve">
=== CORRELATION DETAILS ===
Aeronave:   Skyeye 2600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1" authorId="1" shapeId="0">
      <text>
        <t xml:space="preserve">
=== CORRELATION DETAILS ===
Aeronave:   Skyeye 2930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1" authorId="1" shapeId="0">
      <text>
        <t xml:space="preserve">
=== CORRELATION DETAILS ===
Aeronave:   Skyeye 2930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1" authorId="1" shapeId="0">
      <text>
        <t xml:space="preserve">=== CÁLCULO APLICADO ===
formula:   TAS_5000 = IAS / sqrt(σ_5000)
inputs:
    IAS:   24
    σ_5000:   0.862
</t>
      </text>
    </comment>
    <comment ref="E31" authorId="1" shapeId="0">
      <text>
        <t xml:space="preserve">
=== CORRELATION DETAILS ===
Aeronave:   Skyeye 2930 VTOL
Parámetro:   Techo de servicio máximo
Valor imputado:   nan
Confianza:   0
Corr:   0
k:   0
Tipo Modelo:   n/a
Predictores:   
Penalizacion_k:   0
Familia:   F0
Método predictivo:   Correlacion
Advertencia:   ❌ Todos los modelos descartados por LOOCV (MAPE &gt; 12.5% o R2 &lt;= 0.45)
Iteración imputación:   3
</t>
      </text>
    </comment>
    <comment ref="H31" authorId="1" shapeId="0">
      <text>
        <t xml:space="preserve">
=== CORRELATION DETAILS ===
Aeronave:   Skyeye 2930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1" authorId="1" shapeId="0">
      <text>
        <t xml:space="preserve">
=== CORRELATION DETAILS ===
Aeronave:   Skyeye 2930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1" authorId="1" shapeId="0">
      <text>
        <t xml:space="preserve">
=== CORRELATION DETAILS ===
Aeronave:   Skyeye 2930 VTOL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31" authorId="1" shapeId="0">
      <text>
        <t xml:space="preserve">=== CÁLCULO APLICADO ===
formula:   R[km] = h*3600*V/1000
inputs:
    Autonomía[h]:   3
    Velocidad[m/s]:   24
</t>
      </text>
    </comment>
    <comment ref="Q31" authorId="1" shapeId="0">
      <text>
        <t xml:space="preserve">
=== CORRELATION DETAILS ===
Aeronave:   Skyeye 2930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1" authorId="1" shapeId="0">
      <text>
        <t xml:space="preserve">
=== CORRELATION DETAILS ===
Aeronave:   Skyeye 2930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1" authorId="1" shapeId="0">
      <text>
        <t xml:space="preserve">
=== CORRELATION DETAILS ===
Aeronave:   Skyeye 2930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1" authorId="1" shapeId="0">
      <text>
        <t xml:space="preserve">
=== CORRELATION DETAILS ===
Aeronave:   Skyeye 2930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1" authorId="1" shapeId="0">
      <text>
        <t xml:space="preserve">
=== CORRELATION DETAILS ===
Aeronave:   Skyeye 2930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1" authorId="1" shapeId="0">
      <text>
        <t xml:space="preserve">
=== CORRELATION DETAILS ===
Aeronave:   Skyeye 2930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1" authorId="1" shapeId="0">
      <text>
        <t xml:space="preserve">=== CÁLCULO APLICADO ===
formula:   W0 = MTOW - Payload
inputs:
    MTOW:   28
    Payload:   6
</t>
      </text>
    </comment>
    <comment ref="AB31" authorId="1" shapeId="0">
      <text>
        <t xml:space="preserve">
=== CORRELATION DETAILS ===
Aeronave:   Skyeye 2930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1" authorId="1" shapeId="0">
      <text>
        <t xml:space="preserve">
=== CORRELATION DETAILS ===
Aeronave:   Skyeye 2930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1" authorId="1" shapeId="0">
      <text>
        <t xml:space="preserve">
=== CORRELATION DETAILS ===
Aeronave:   Skyeye 2930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1" authorId="1" shapeId="0">
      <text>
        <t xml:space="preserve">
=== CORRELATION DETAILS ===
Aeronave:   Skyeye 2930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1" authorId="1" shapeId="0">
      <text>
        <t xml:space="preserve">
=== CORRELATION DETAILS ===
Aeronave:   Skyeye 2930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1" authorId="1" shapeId="0">
      <text>
        <t xml:space="preserve">
=== CORRELATION DETAILS ===
Aeronave:   Skyeye 2930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1" authorId="1" shapeId="0">
      <text>
        <t xml:space="preserve">
=== CORRELATION DETAILS ===
Aeronave:   Skyeye 2930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1" authorId="1" shapeId="0">
      <text>
        <t xml:space="preserve">
=== CORRELATION DETAILS ===
Aeronave:   Skyeye 2930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1" authorId="1" shapeId="0">
      <text>
        <t xml:space="preserve">
=== CORRELATION DETAILS ===
Aeronave:   Skyeye 2930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1" authorId="1" shapeId="0">
      <text>
        <t xml:space="preserve">
=== CORRELATION DETAILS ===
Aeronave:   Skyeye 2930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C32" authorId="1" shapeId="0">
      <text>
        <t xml:space="preserve">
=== CORRELATION DETAILS ===
Aeronave:   Skyeye 3600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2" authorId="1" shapeId="0">
      <text>
        <t xml:space="preserve">
=== CORRELATION DETAILS ===
Aeronave:   Skyeye 3600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2" authorId="1" shapeId="0">
      <text>
        <t xml:space="preserve">
=== CORRELATION DETAILS ===
Aeronave:   Skyeye 3600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2" authorId="1" shapeId="0">
      <text>
        <t xml:space="preserve">
=== CORRELATION DETAILS ===
Aeronave:   Skyeye 3600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2" authorId="1" shapeId="0">
      <text>
        <t xml:space="preserve">
=== CORRELATION DETAILS ===
Aeronave:   Skyeye 3600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2" authorId="1" shapeId="0">
      <text>
        <t xml:space="preserve">
=== CORRELATION DETAILS ===
Aeronave:   Skyeye 3600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2" authorId="1" shapeId="0">
      <text>
        <t xml:space="preserve">
=== CORRELATION DETAILS ===
Aeronave:   Skyeye 3600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32" authorId="1" shapeId="0">
      <text>
        <t xml:space="preserve">
=== CORRELATION DETAILS ===
Aeronave:   Skyeye 3600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Q32" authorId="1" shapeId="0">
      <text>
        <t xml:space="preserve">
=== CORRELATION DETAILS ===
Aeronave:   Skyeye 3600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2" authorId="1" shapeId="0">
      <text>
        <t xml:space="preserve">
=== CORRELATION DETAILS ===
Aeronave:   Skyeye 3600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2" authorId="1" shapeId="0">
      <text>
        <t xml:space="preserve">
=== CORRELATION DETAILS ===
Aeronave:   Skyeye 3600
Parámetro:   Cuerda
Valor imputado:   nan
Confianza:   0
Corr:   0
k:   0
Tipo Modelo:   n/a
Predictores:   
Penalizacion_k:   0
Familia:   sin filtro
Método predictivo:   Correlacion
Advertencia:   ❌ No se permite imputación sin filtro para esta celda.
Iteración imputación:   3
</t>
      </text>
    </comment>
    <comment ref="V32" authorId="1" shapeId="0">
      <text>
        <t xml:space="preserve">
=== CORRELATION DETAILS ===
Aeronave:   Skyeye 3600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32" authorId="1" shapeId="0">
      <text>
        <t xml:space="preserve">
=== CORRELATION DETAILS ===
Aeronave:   Skyeye 3600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32" authorId="1" shapeId="0">
      <text>
        <t xml:space="preserve">
=== CORRELATION DETAILS ===
Aeronave:   Skyeye 3600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2" authorId="1" shapeId="0">
      <text>
        <t xml:space="preserve">
=== CORRELATION DETAILS ===
Aeronave:   Skyeye 3600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2" authorId="1" shapeId="0">
      <text>
        <t xml:space="preserve">=== CÁLCULO APLICADO ===
formula:   W0 = MTOW - Payload
inputs:
    MTOW:   28
    Payload:   10
</t>
      </text>
    </comment>
    <comment ref="AB32" authorId="1" shapeId="0">
      <text>
        <t xml:space="preserve">
=== CORRELATION DETAILS ===
Aeronave:   Skyeye 3600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2" authorId="1" shapeId="0">
      <text>
        <t xml:space="preserve">
=== CORRELATION DETAILS ===
Aeronave:   Skyeye 3600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2" authorId="1" shapeId="0">
      <text>
        <t xml:space="preserve">
=== CORRELATION DETAILS ===
Aeronave:   Skyeye 3600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2" authorId="1" shapeId="0">
      <text>
        <t xml:space="preserve">
=== CORRELATION DETAILS ===
Aeronave:   Skyeye 3600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2" authorId="1" shapeId="0">
      <text>
        <t xml:space="preserve">
=== CORRELATION DETAILS ===
Aeronave:   Skyeye 3600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2" authorId="1" shapeId="0">
      <text>
        <t xml:space="preserve">
=== CORRELATION DETAILS ===
Aeronave:   Skyeye 3600
Parámetro:   Consumo
Valor imputado:   nan
Confianza:   0
Corr:   0
k:   0
Tipo Modelo:   n/a
Predictores:   
Penalizacion_k:   0
Familia:   sin filtro
Método predictivo:   Correlacion
Advertencia:   ❌ No se permite imputación sin filtro para esta celda.
Iteración imputación:   3
</t>
      </text>
    </comment>
    <comment ref="AI32" authorId="1" shapeId="0">
      <text>
        <t xml:space="preserve">
=== CORRELATION DETAILS ===
Aeronave:   Skyeye 3600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2" authorId="1" shapeId="0">
      <text>
        <t xml:space="preserve">
=== CORRELATION DETAILS ===
Aeronave:   Skyeye 3600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2" authorId="1" shapeId="0">
      <text>
        <t xml:space="preserve">
=== CORRELATION DETAILS ===
Aeronave:   Skyeye 3600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3" authorId="1" shapeId="0">
      <text>
        <t xml:space="preserve">
=== CORRELATION DETAILS ===
Aeronave:   Skyeye 3600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3" authorId="1" shapeId="0">
      <text>
        <t xml:space="preserve">
=== CORRELATION DETAILS ===
Aeronave:   Skyeye 3600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3" authorId="1" shapeId="0">
      <text>
        <t xml:space="preserve">=== CÁLCULO APLICADO ===
formula:   TAS_5000 = IAS / sqrt(σ_5000)
inputs:
    IAS:   30
    σ_5000:   0.862
</t>
      </text>
    </comment>
    <comment ref="E33" authorId="1" shapeId="0">
      <text>
        <t xml:space="preserve">
=== CORRELATION DETAILS ===
Aeronave:   Skyeye 3600 VTOL
Parámetro:   Techo de servicio máximo
Valor imputado:   nan
Confianza:   0
Corr:   0
k:   0
Tipo Modelo:   n/a
Predictores:   
Penalizacion_k:   0
Familia:   F0
Método predictivo:   Correlacion
Advertencia:   ❌ Todos los modelos descartados por LOOCV (MAPE &gt; 12.5% o R2 &lt;= 0.45)
Iteración imputación:   3
</t>
      </text>
    </comment>
    <comment ref="H33" authorId="1" shapeId="0">
      <text>
        <t xml:space="preserve">
=== CORRELATION DETAILS ===
Aeronave:   Skyeye 3600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3" authorId="1" shapeId="0">
      <text>
        <t xml:space="preserve">
=== CORRELATION DETAILS ===
Aeronave:   Skyeye 3600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3" authorId="1" shapeId="0">
      <text>
        <t xml:space="preserve">
=== CORRELATION DETAILS ===
Aeronave:   Skyeye 3600 VTOL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33" authorId="2" shapeId="0">
      <text>
        <t>[Verificación] R ≈ (h · 3600 · IAS) / 1000
[Fórmula] Δrel = |A − B| / max(|A|, |B|, 1e−12) con A=R, B=(h·3600·V)/1000
[Normalización] Escala el error a porcentaje relativo de la magnitud observada.
[Sustitución] |300 − (6·3600·30)/1000| / max(|300|, |648|, 1e−12)
[Resultado] Δrel=0.537037 (53.70%); severidad: no_confiable</t>
      </text>
    </comment>
    <comment ref="N33" authorId="2" shapeId="0">
      <text>
        <t>[Verificación] R ≈ (h · 3600 · IAS) / 1000
[Fórmula] Δrel = |A − B| / max(|A|, |B|, 1e−12) con A=R, B=(h·3600·V)/1000
[Normalización] Escala el error a porcentaje relativo de la magnitud observada.
[Sustitución] |300 − (6·3600·30)/1000| / max(|300|, |648|, 1e−12)
[Resultado] Δrel=0.537037 (53.70%); severidad: no_confiable</t>
      </text>
    </comment>
    <comment ref="Q33" authorId="1" shapeId="0">
      <text>
        <t xml:space="preserve">
=== CORRELATION DETAILS ===
Aeronave:   Skyeye 3600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3" authorId="1" shapeId="0">
      <text>
        <t xml:space="preserve">
=== CORRELATION DETAILS ===
Aeronave:   Skyeye 3600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3" authorId="1" shapeId="0">
      <text>
        <t xml:space="preserve">
=== CORRELATION DETAILS ===
Aeronave:   Skyeye 3600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3" authorId="1" shapeId="0">
      <text>
        <t xml:space="preserve">
=== CORRELATION DETAILS ===
Aeronave:   Skyeye 3600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33" authorId="2" shapeId="0">
      <text>
        <t>[Verificación] R ≈ (h · 3600 · IAS) / 1000
[Fórmula] Δrel = |A − B| / max(|A|, |B|, 1e−12) con A=R, B=(h·3600·V)/1000
[Normalización] Escala el error a porcentaje relativo de la magnitud observada.
[Sustitución] |300 − (6·3600·30)/1000| / max(|300|, |648|, 1e−12)
[Resultado] Δrel=0.537037 (53.70%); severidad: no_confiable</t>
      </text>
    </comment>
    <comment ref="X33" authorId="1" shapeId="0">
      <text>
        <t xml:space="preserve">
=== CORRELATION DETAILS ===
Aeronave:   Skyeye 3600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3" authorId="1" shapeId="0">
      <text>
        <t xml:space="preserve">
=== CORRELATION DETAILS ===
Aeronave:   Skyeye 3600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3" authorId="1" shapeId="0">
      <text>
        <t xml:space="preserve">=== CÁLCULO APLICADO ===
formula:   W0 = MTOW - Payload
inputs:
    MTOW:   40
    Payload:   10
</t>
      </text>
    </comment>
    <comment ref="AB33" authorId="1" shapeId="0">
      <text>
        <t xml:space="preserve">
=== CORRELATION DETAILS ===
Aeronave:   Skyeye 3600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3" authorId="1" shapeId="0">
      <text>
        <t xml:space="preserve">
=== CORRELATION DETAILS ===
Aeronave:   Skyeye 3600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3" authorId="1" shapeId="0">
      <text>
        <t xml:space="preserve">
=== CORRELATION DETAILS ===
Aeronave:   Skyeye 3600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3" authorId="1" shapeId="0">
      <text>
        <t xml:space="preserve">
=== CORRELATION DETAILS ===
Aeronave:   Skyeye 3600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3" authorId="1" shapeId="0">
      <text>
        <t xml:space="preserve">
=== CORRELATION DETAILS ===
Aeronave:   Skyeye 3600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3" authorId="1" shapeId="0">
      <text>
        <t xml:space="preserve">
=== CORRELATION DETAILS ===
Aeronave:   Skyeye 3600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3" authorId="1" shapeId="0">
      <text>
        <t xml:space="preserve">
=== CORRELATION DETAILS ===
Aeronave:   Skyeye 3600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3" authorId="1" shapeId="0">
      <text>
        <t xml:space="preserve">
=== CORRELATION DETAILS ===
Aeronave:   Skyeye 3600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3" authorId="1" shapeId="0">
      <text>
        <t xml:space="preserve">
=== CORRELATION DETAILS ===
Aeronave:   Skyeye 3600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C34" authorId="1" shapeId="0">
      <text>
        <t xml:space="preserve">
=== CORRELATION DETAILS ===
Aeronave:   Skyeye 5000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4" authorId="1" shapeId="0">
      <text>
        <t xml:space="preserve">=== CÁLCULO APLICADO ===
formula:   TAS_5000 = IAS / sqrt(σ_5000)
inputs:
    IAS:   33
    σ_5000:   0.862
</t>
      </text>
    </comment>
    <comment ref="E34" authorId="1" shapeId="0">
      <text>
        <t xml:space="preserve">
=== CORRELATION DETAILS ===
Aeronave:   Skyeye 5000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4" authorId="1" shapeId="0">
      <text>
        <t xml:space="preserve">
=== CORRELATION DETAILS ===
Aeronave:   Skyeye 5000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4" authorId="1" shapeId="0">
      <text>
        <t xml:space="preserve">
=== CORRELATION DETAILS ===
Aeronave:   Skyeye 5000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34" authorId="1" shapeId="0">
      <text>
        <t xml:space="preserve">=== CÁLCULO APLICADO ===
formula:   R[km] = h*3600*V/1000
inputs:
    Autonomía[h]:   8
    Velocidad[m/s]:   33
</t>
      </text>
    </comment>
    <comment ref="Q34" authorId="1" shapeId="0">
      <text>
        <t xml:space="preserve">
=== CORRELATION DETAILS ===
Aeronave:   Skyeye 5000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4" authorId="1" shapeId="0">
      <text>
        <t xml:space="preserve">
=== CORRELATION DETAILS ===
Aeronave:   Skyeye 5000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4" authorId="1" shapeId="0">
      <text>
        <t xml:space="preserve">
=== CORRELATION DETAILS ===
Aeronave:   Skyeye 5000
Parámetro:   Cuerda
Valor imputado:   nan
Confianza:   0
Corr:   0
k:   0
Tipo Modelo:   n/a
Predictores:   
Penalizacion_k:   0
Familia:   sin filtro
Método predictivo:   Correlacion
Advertencia:   ❌ No se permite imputación sin filtro para esta celda.
Iteración imputación:   3
</t>
      </text>
    </comment>
    <comment ref="V34" authorId="1" shapeId="0">
      <text>
        <t xml:space="preserve">
=== CORRELATION DETAILS ===
Aeronave:   Skyeye 5000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4" authorId="1" shapeId="0">
      <text>
        <t xml:space="preserve">
=== CORRELATION DETAILS ===
Aeronave:   Skyeye 5000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4" authorId="1" shapeId="0">
      <text>
        <t xml:space="preserve">
=== CORRELATION DETAILS ===
Aeronave:   Skyeye 5000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4" authorId="1" shapeId="0">
      <text>
        <t xml:space="preserve">=== CÁLCULO APLICADO ===
formula:   W0 = MTOW - Payload
inputs:
    MTOW:   90
    Payload:   20
</t>
      </text>
    </comment>
    <comment ref="AB34" authorId="1" shapeId="0">
      <text>
        <t xml:space="preserve">
=== CORRELATION DETAILS ===
Aeronave:   Skyeye 5000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4" authorId="1" shapeId="0">
      <text>
        <t xml:space="preserve">
=== CORRELATION DETAILS ===
Aeronave:   Skyeye 5000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4" authorId="1" shapeId="0">
      <text>
        <t xml:space="preserve">
=== CORRELATION DETAILS ===
Aeronave:   Skyeye 5000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4" authorId="1" shapeId="0">
      <text>
        <t xml:space="preserve">
=== CORRELATION DETAILS ===
Aeronave:   Skyeye 5000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4" authorId="1" shapeId="0">
      <text>
        <t xml:space="preserve">
=== CORRELATION DETAILS ===
Aeronave:   Skyeye 5000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34" authorId="1" shapeId="0">
      <text>
        <t xml:space="preserve">
=== CORRELATION DETAILS ===
Aeronave:   Skyeye 5000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4" authorId="1" shapeId="0">
      <text>
        <t xml:space="preserve">
=== CORRELATION DETAILS ===
Aeronave:   Skyeye 5000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4" authorId="1" shapeId="0">
      <text>
        <t xml:space="preserve">
=== CORRELATION DETAILS ===
Aeronave:   Skyeye 5000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5" authorId="1" shapeId="0">
      <text>
        <t xml:space="preserve">
=== CORRELATION DETAILS ===
Aeronave:   Skyeye 5000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5" authorId="1" shapeId="0">
      <text>
        <t xml:space="preserve">
=== CORRELATION DETAILS ===
Aeronave:   Skyeye 5000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5" authorId="1" shapeId="0">
      <text>
        <t xml:space="preserve">=== CÁLCULO APLICADO ===
formula:   TAS_5000 = IAS / sqrt(σ_5000)
inputs:
    IAS:   28
    σ_5000:   0.862
</t>
      </text>
    </comment>
    <comment ref="E35" authorId="1" shapeId="0">
      <text>
        <t xml:space="preserve">
=== CORRELATION DETAILS ===
Aeronave:   Skyeye 5000 VTOL
Parámetro:   Techo de servicio máximo
Valor imputado:   nan
Confianza:   0
Corr:   0
k:   0
Tipo Modelo:   n/a
Predictores:   
Penalizacion_k:   0
Familia:   F2
Método predictivo:   Correlacion
Advertencia:   ❌ Todos los modelos descartados por LOOCV (MAPE &gt; 12.5% o R2 &lt;= 0.45)
Iteración imputación:   3
</t>
      </text>
    </comment>
    <comment ref="H35" authorId="1" shapeId="0">
      <text>
        <t xml:space="preserve">
=== CORRELATION DETAILS ===
Aeronave:   Skyeye 5000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5" authorId="1" shapeId="0">
      <text>
        <t xml:space="preserve">
=== CORRELATION DETAILS ===
Aeronave:   Skyeye 5000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35" authorId="1" shapeId="0">
      <text>
        <t xml:space="preserve">
=== CORRELATION DETAILS ===
Aeronave:   Skyeye 5000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35" authorId="1" shapeId="0">
      <text>
        <t xml:space="preserve">
=== CORRELATION DETAILS ===
Aeronave:   Skyeye 5000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5" authorId="1" shapeId="0">
      <text>
        <t xml:space="preserve">
=== CORRELATION DETAILS ===
Aeronave:   Skyeye 5000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5" authorId="1" shapeId="0">
      <text>
        <t xml:space="preserve">
=== CORRELATION DETAILS ===
Aeronave:   Skyeye 5000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5" authorId="1" shapeId="0">
      <text>
        <t xml:space="preserve">
=== CORRELATION DETAILS ===
Aeronave:   Skyeye 5000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5" authorId="1" shapeId="0">
      <text>
        <t xml:space="preserve">
=== CORRELATION DETAILS ===
Aeronave:   Skyeye 5000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5" authorId="1" shapeId="0">
      <text>
        <t xml:space="preserve">
=== CORRELATION DETAILS ===
Aeronave:   Skyeye 5000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35" authorId="1" shapeId="0">
      <text>
        <t xml:space="preserve">
=== CORRELATION DETAILS ===
Aeronave:   Skyeye 5000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5" authorId="1" shapeId="0">
      <text>
        <t xml:space="preserve">=== CÁLCULO APLICADO ===
formula:   W0 = MTOW - Payload
inputs:
    MTOW:   100
    Payload:   25
</t>
      </text>
    </comment>
    <comment ref="AB35" authorId="1" shapeId="0">
      <text>
        <t xml:space="preserve">
=== CORRELATION DETAILS ===
Aeronave:   Skyeye 5000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5" authorId="1" shapeId="0">
      <text>
        <t xml:space="preserve">
=== CORRELATION DETAILS ===
Aeronave:   Skyeye 5000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5" authorId="1" shapeId="0">
      <text>
        <t xml:space="preserve">
=== CORRELATION DETAILS ===
Aeronave:   Skyeye 5000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5" authorId="1" shapeId="0">
      <text>
        <t xml:space="preserve">
=== CORRELATION DETAILS ===
Aeronave:   Skyeye 5000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5" authorId="1" shapeId="0">
      <text>
        <t xml:space="preserve">
=== CORRELATION DETAILS ===
Aeronave:   Skyeye 5000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5" authorId="1" shapeId="0">
      <text>
        <t xml:space="preserve">
=== CORRELATION DETAILS ===
Aeronave:   Skyeye 5000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5" authorId="1" shapeId="0">
      <text>
        <t xml:space="preserve">
=== CORRELATION DETAILS ===
Aeronave:   Skyeye 5000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5" authorId="1" shapeId="0">
      <text>
        <t xml:space="preserve">
=== CORRELATION DETAILS ===
Aeronave:   Skyeye 5000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5" authorId="1" shapeId="0">
      <text>
        <t xml:space="preserve">
=== CORRELATION DETAILS ===
Aeronave:   Skyeye 5000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6" authorId="1" shapeId="0">
      <text>
        <t xml:space="preserve">
=== CORRELATION DETAILS ===
Aeronave:   Skyeye 5000 VTOL octo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6" authorId="1" shapeId="0">
      <text>
        <t xml:space="preserve">
=== CORRELATION DETAILS ===
Aeronave:   Skyeye 5000 VTOL octo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6" authorId="1" shapeId="0">
      <text>
        <t xml:space="preserve">=== CÁLCULO APLICADO ===
formula:   TAS_5000 = IAS / sqrt(σ_5000)
inputs:
    IAS:   35
    σ_5000:   0.862
</t>
      </text>
    </comment>
    <comment ref="E36" authorId="1" shapeId="0">
      <text>
        <t xml:space="preserve">
=== CORRELATION DETAILS ===
Aeronave:   Skyeye 5000 VTOL octo
Parámetro:   Techo de servicio máximo
Valor imputado:   nan
Confianza:   0
Corr:   0
k:   0
Tipo Modelo:   n/a
Predictores:   
Penalizacion_k:   0
Familia:   F2
Método predictivo:   Correlacion
Advertencia:   ❌ Todos los modelos descartados por LOOCV (MAPE &gt; 12.5% o R2 &lt;= 0.45)
Iteración imputación:   3
</t>
      </text>
    </comment>
    <comment ref="F36" authorId="1" shapeId="0">
      <text>
        <t xml:space="preserve">=== IMPUTED VALUE ===
Aeronave:   Skyeye 5000 VTOL octo
Parámetro:   Velocidad de pérdida limpia (m/s CAS)
Valor imputado:   24
Confianza:   0.272
Método predictivo:   Correlacion
Iteración imputación:   1
variable_independiente_1:   24
=== CORRELATION DETAILS ===
Aeronave:   Skyeye 5000 VTOL octo
Parámetro:   Velocidad de pérdida limpia (m/s CAS)
Valor imputado:   24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F1
Iteración imputación:   1
variable_independiente_1:   24
</t>
      </text>
    </comment>
    <comment ref="H36" authorId="1" shapeId="0">
      <text>
        <t xml:space="preserve">
=== CORRELATION DETAILS ===
Aeronave:   Skyeye 5000 VTOL octo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6" authorId="1" shapeId="0">
      <text>
        <t xml:space="preserve">
=== CORRELATION DETAILS ===
Aeronave:   Skyeye 5000 VTOL octo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36" authorId="1" shapeId="0">
      <text>
        <t xml:space="preserve">
=== CORRELATION DETAILS ===
Aeronave:   Skyeye 5000 VTOL octo
Parámetro:   Alcance de la aeronave
Valor imputado:   nan
Confianza:   0
Corr:   0
k:   0
Tipo Modelo:   n/a
Predictores:   
Penalizacion_k:   0
Familia:   F2
Método predictivo:   Correlacion
Advertencia:   ❌ Todos los modelos descartados por LOOCV (MAPE &gt; 12.5% o R2 &lt;= 0.45)
Iteración imputación:   3
</t>
      </text>
    </comment>
    <comment ref="N36" authorId="1" shapeId="0">
      <text>
        <t xml:space="preserve">
=== CORRELATION DETAILS ===
Aeronave:   Skyeye 5000 VTOL octo
Parámetro:   Autonomía de la aeronave
Valor imputado:   nan
Confianza:   0
Corr:   0
k:   0
Tipo Modelo:   n/a
Predictores:   
Penalizacion_k:   0
Familia:   F2
Método predictivo:   Correlacion
Advertencia:   ❌ Todos los modelos descartados por LOOCV (MAPE &gt; 12.5% o R2 &lt;= 0.45)
Iteración imputación:   3
</t>
      </text>
    </comment>
    <comment ref="Q36" authorId="1" shapeId="0">
      <text>
        <t xml:space="preserve">
=== CORRELATION DETAILS ===
Aeronave:   Skyeye 5000 VTOL octo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6" authorId="1" shapeId="0">
      <text>
        <t xml:space="preserve">
=== CORRELATION DETAILS ===
Aeronave:   Skyeye 5000 VTOL octo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6" authorId="1" shapeId="0">
      <text>
        <t xml:space="preserve">
=== CORRELATION DETAILS ===
Aeronave:   Skyeye 5000 VTOL octo
Parámetro:   Cuerda
Valor imputado:   nan
Confianza:   0
Corr:   0
k:   0
Tipo Modelo:   n/a
Predictores:   
Penalizacion_k:   0
Familia:   sin filtro
Método predictivo:   Correlacion
Advertencia:   ❌ No se permite imputación sin filtro para esta celda.
Iteración imputación:   3
</t>
      </text>
    </comment>
    <comment ref="V36" authorId="1" shapeId="0">
      <text>
        <t xml:space="preserve">
=== CORRELATION DETAILS ===
Aeronave:   Skyeye 5000 VTOL octo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6" authorId="1" shapeId="0">
      <text>
        <t xml:space="preserve">
=== CORRELATION DETAILS ===
Aeronave:   Skyeye 5000 VTOL octo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6" authorId="1" shapeId="0">
      <text>
        <t xml:space="preserve">
=== CORRELATION DETAILS ===
Aeronave:   Skyeye 5000 VTOL octo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6" authorId="1" shapeId="0">
      <text>
        <t xml:space="preserve">=== CÁLCULO APLICADO ===
formula:   W0 = MTOW - Payload
inputs:
    MTOW:   100
    Payload:   15
</t>
      </text>
    </comment>
    <comment ref="AB36" authorId="1" shapeId="0">
      <text>
        <t xml:space="preserve">
=== CORRELATION DETAILS ===
Aeronave:   Skyeye 5000 VTOL octo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6" authorId="1" shapeId="0">
      <text>
        <t xml:space="preserve">
=== CORRELATION DETAILS ===
Aeronave:   Skyeye 5000 VTOL octo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6" authorId="1" shapeId="0">
      <text>
        <t xml:space="preserve">
=== CORRELATION DETAILS ===
Aeronave:   Skyeye 5000 VTOL octo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6" authorId="1" shapeId="0">
      <text>
        <t xml:space="preserve">
=== CORRELATION DETAILS ===
Aeronave:   Skyeye 5000 VTOL octo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6" authorId="1" shapeId="0">
      <text>
        <t xml:space="preserve">
=== CORRELATION DETAILS ===
Aeronave:   Skyeye 5000 VTOL octo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6" authorId="1" shapeId="0">
      <text>
        <t xml:space="preserve">
=== CORRELATION DETAILS ===
Aeronave:   Skyeye 5000 VTOL octo
Parámetro:   Consumo
Valor imputado:   nan
Confianza:   0
Corr:   0
k:   0
Tipo Modelo:   n/a
Predictores:   
Penalizacion_k:   0
Familia:   sin filtro
Método predictivo:   Correlacion
Advertencia:   ❌ No se permite imputación sin filtro para esta celda.
Iteración imputación:   3
</t>
      </text>
    </comment>
    <comment ref="AI36" authorId="1" shapeId="0">
      <text>
        <t xml:space="preserve">
=== CORRELATION DETAILS ===
Aeronave:   Skyeye 5000 VTOL octo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6" authorId="1" shapeId="0">
      <text>
        <t xml:space="preserve">
=== CORRELATION DETAILS ===
Aeronave:   Skyeye 5000 VTOL octo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6" authorId="1" shapeId="0">
      <text>
        <t xml:space="preserve">
=== CORRELATION DETAILS ===
Aeronave:   Skyeye 5000 VTOL octo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7" authorId="1" shapeId="0">
      <text>
        <t xml:space="preserve">
=== CORRELATION DETAILS ===
Aeronave:   Volitation VT510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7" authorId="1" shapeId="0">
      <text>
        <t xml:space="preserve">
=== CORRELATION DETAILS ===
Aeronave:   Volitation VT510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7" authorId="1" shapeId="0">
      <text>
        <t xml:space="preserve">=== CÁLCULO APLICADO ===
formula:   TAS_5000 = IAS / sqrt(σ_5000)
inputs:
    IAS:   30
    σ_5000:   0.862
</t>
      </text>
    </comment>
    <comment ref="G37" authorId="1" shapeId="0">
      <text>
        <t xml:space="preserve">=== IMPUTED VALUE ===
Aeronave:   Volitation VT510
Parámetro:   Área del ala
Valor imputado:   2.62
Confianza:   0.246
Método predictivo:   Correlacion
Iteración imputación:   1
variable_independiente_1:   25
=== CORRELATION DETAILS ===
Aeronave:   Volitation VT510
Parámetro:   Área del ala
Valor imputado:   2.62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25
</t>
      </text>
    </comment>
    <comment ref="H37" authorId="1" shapeId="0">
      <text>
        <t xml:space="preserve">
=== CORRELATION DETAILS ===
Aeronave:   Volitation VT510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7" authorId="1" shapeId="0">
      <text>
        <t xml:space="preserve">
=== CORRELATION DETAILS ===
Aeronave:   Volitation VT510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7" authorId="1" shapeId="0">
      <text>
        <t xml:space="preserve">
=== CORRELATION DETAILS ===
Aeronave:   Volitation VT510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37" authorId="1" shapeId="0">
      <text>
        <t xml:space="preserve">=== CÁLCULO APLICADO ===
formula:   R[km] = h*3600*V/1000
inputs:
    Autonomía[h]:   5
    Velocidad[m/s]:   30
</t>
      </text>
    </comment>
    <comment ref="Q37" authorId="1" shapeId="0">
      <text>
        <t xml:space="preserve">
=== CORRELATION DETAILS ===
Aeronave:   Volitation VT510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7" authorId="1" shapeId="0">
      <text>
        <t xml:space="preserve">
=== CORRELATION DETAILS ===
Aeronave:   Volitation VT510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7" authorId="1" shapeId="0">
      <text>
        <t xml:space="preserve">
=== CORRELATION DETAILS ===
Aeronave:   Volitation VT510
Parámetro:   Cuerda
Valor imputado:   nan
Confianza:   0
Corr:   0
k:   0
Tipo Modelo:   n/a
Predictores:   
Penalizacion_k:   0
Familia:   sin filtro
Método predictivo:   Correlacion
Advertencia:   ❌ No se permite imputación sin filtro para esta celda.
Iteración imputación:   3
</t>
      </text>
    </comment>
    <comment ref="V37" authorId="1" shapeId="0">
      <text>
        <t xml:space="preserve">
=== CORRELATION DETAILS ===
Aeronave:   Volitation VT510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7" authorId="1" shapeId="0">
      <text>
        <t xml:space="preserve">
=== CORRELATION DETAILS ===
Aeronave:   Volitation VT510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7" authorId="1" shapeId="0">
      <text>
        <t xml:space="preserve">
=== CORRELATION DETAILS ===
Aeronave:   Volitation VT510
Parámetro:   Peso frame
Valor imputado:   nan
Confianza:   0
Corr:   0
k:   0
Tipo Modelo:   n/a
Predictores:   
Penalizacion_k:   0
Familia:   sin filtro
Método predictivo:   Correlacion
Advertencia:   ❌ No se permite imputación sin filtro para esta celda.
Iteración imputación:   3
</t>
      </text>
    </comment>
    <comment ref="Z37" authorId="1" shapeId="0">
      <text>
        <t xml:space="preserve">
=== CORRELATION DETAILS ===
Aeronave:   Volitation VT510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7" authorId="1" shapeId="0">
      <text>
        <t xml:space="preserve">=== CÁLCULO APLICADO ===
formula:   W0 = MTOW - Payload
inputs:
    MTOW:   100
    Payload:   25
</t>
      </text>
    </comment>
    <comment ref="AB37" authorId="1" shapeId="0">
      <text>
        <t xml:space="preserve">
=== CORRELATION DETAILS ===
Aeronave:   Volitation VT510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7" authorId="1" shapeId="0">
      <text>
        <t xml:space="preserve">
=== CORRELATION DETAILS ===
Aeronave:   Volitation VT510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7" authorId="1" shapeId="0">
      <text>
        <t xml:space="preserve">
=== CORRELATION DETAILS ===
Aeronave:   Volitation VT510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7" authorId="1" shapeId="0">
      <text>
        <t xml:space="preserve">
=== CORRELATION DETAILS ===
Aeronave:   Volitation VT510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7" authorId="1" shapeId="0">
      <text>
        <t xml:space="preserve">
=== CORRELATION DETAILS ===
Aeronave:   Volitation VT510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37" authorId="1" shapeId="0">
      <text>
        <t xml:space="preserve">
=== CORRELATION DETAILS ===
Aeronave:   Volitation VT510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7" authorId="1" shapeId="0">
      <text>
        <t xml:space="preserve">
=== CORRELATION DETAILS ===
Aeronave:   Volitation VT510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7" authorId="1" shapeId="0">
      <text>
        <t xml:space="preserve">
=== CORRELATION DETAILS ===
Aeronave:   Volitation VT510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8" authorId="1" shapeId="0">
      <text>
        <t xml:space="preserve">
=== CORRELATION DETAILS ===
Aeronave:   Ascend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8" authorId="1" shapeId="0">
      <text>
        <t xml:space="preserve">
=== CORRELATION DETAILS ===
Aeronave:   Ascend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8" authorId="1" shapeId="0">
      <text>
        <t xml:space="preserve">=== CÁLCULO APLICADO ===
formula:   TAS_5000 = IAS / sqrt(σ_5000)
inputs:
    IAS:   20
    σ_5000:   0.862
</t>
      </text>
    </comment>
    <comment ref="F38" authorId="1" shapeId="0">
      <text>
        <t xml:space="preserve">=== IMPUTED VALUE ===
Aeronave:   Ascend
Parámetro:   Velocidad de pérdida limpia (m/s CAS)
Valor imputado:   13
Confianza:   0.272
Método predictivo:   Correlacion
Iteración imputación:   1
variable_independiente_1:   13
=== CORRELATION DETAILS ===
Aeronave:   Ascend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38" authorId="1" shapeId="0">
      <text>
        <t xml:space="preserve">
=== CORRELATION DETAILS ===
Aeronave:   Ascend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38" authorId="1" shapeId="0">
      <text>
        <t xml:space="preserve">
=== CORRELATION DETAILS ===
Aeronave:   Ascend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8" authorId="1" shapeId="0">
      <text>
        <t xml:space="preserve">
=== CORRELATION DETAILS ===
Aeronave:   Ascend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8" authorId="1" shapeId="0">
      <text>
        <t xml:space="preserve">
=== CORRELATION DETAILS ===
Aeronave:   Ascend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38" authorId="1" shapeId="0">
      <text>
        <t xml:space="preserve">=== CÁLCULO APLICADO ===
formula:   R[km] = h*3600*V/1000
inputs:
    Autonomía[h]:   6
    Velocidad[m/s]:   20
</t>
      </text>
    </comment>
    <comment ref="Q38" authorId="1" shapeId="0">
      <text>
        <t xml:space="preserve">
=== CORRELATION DETAILS ===
Aeronave:   Ascend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8" authorId="1" shapeId="0">
      <text>
        <t xml:space="preserve">
=== CORRELATION DETAILS ===
Aeronave:   Ascend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8" authorId="1" shapeId="0">
      <text>
        <t xml:space="preserve">
=== CORRELATION DETAILS ===
Aeronave:   Ascend
Parámetro:   Cuerda
Valor imputado:   nan
Confianza:   0
Corr:   0
k:   0
Tipo Modelo:   n/a
Predictores:   
Penalizacion_k:   0
Familia:   sin filtro
Método predictivo:   Correlacion
Advertencia:   ❌ No se permite imputación sin filtro para esta celda.
Iteración imputación:   3
</t>
      </text>
    </comment>
    <comment ref="X38" authorId="1" shapeId="0">
      <text>
        <t xml:space="preserve">
=== CORRELATION DETAILS ===
Aeronave:   Ascend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38" authorId="1" shapeId="0">
      <text>
        <t xml:space="preserve">
=== CORRELATION DETAILS ===
Aeronave:   Ascend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38" authorId="1" shapeId="0">
      <text>
        <t xml:space="preserve">
=== CORRELATION DETAILS ===
Aeronave:   Ascend
Parámetro:   Rango de comunicación
Valor imputado:   nan
Confianza:   0
Corr:   0
k:   0
Tipo Modelo:   n/a
Predictores:   
Penalizacion_k:   0
Familia:   F2
Método predictivo:   Correlacion
Advertencia:   ❌ Todos los modelos descartados por LOOCV (MAPE &gt; 12.5% o R2 &lt;= 0.45)
Iteración imputación:   3
</t>
      </text>
    </comment>
    <comment ref="AE38" authorId="1" shapeId="0">
      <text>
        <t xml:space="preserve">
=== CORRELATION DETAILS ===
Aeronave:   Ascend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8" authorId="1" shapeId="0">
      <text>
        <t xml:space="preserve">
=== CORRELATION DETAILS ===
Aeronave:   Ascend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8" authorId="1" shapeId="0">
      <text>
        <t xml:space="preserve">
=== CORRELATION DETAILS ===
Aeronave:   Ascend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38" authorId="1" shapeId="0">
      <text>
        <t xml:space="preserve">
=== CORRELATION DETAILS ===
Aeronave:   Ascend
Parámetro:   Consumo
Valor imputado:   nan
Confianza:   0
Corr:   0
k:   0
Tipo Modelo:   n/a
Predictores:   
Penalizacion_k:   0
Familia:   sin filtro
Método predictivo:   Correlacion
Advertencia:   ❌ No se permite imputación sin filtro para esta celda.
Iteración imputación:   3
</t>
      </text>
    </comment>
    <comment ref="AI38" authorId="1" shapeId="0">
      <text>
        <t xml:space="preserve">
=== CORRELATION DETAILS ===
Aeronave:   Ascend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8" authorId="1" shapeId="0">
      <text>
        <t xml:space="preserve">
=== CORRELATION DETAILS ===
Aeronave:   Ascend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8" authorId="1" shapeId="0">
      <text>
        <t xml:space="preserve">
=== CORRELATION DETAILS ===
Aeronave:   Ascend
Parámetro:   Precio
Valor imputado:   nan
Confianza:   0
Corr:   0
k:   0
Tipo Modelo:   n/a
Predictores:   
Penalizacion_k:   0
Familia:   sin filtro
Método predictivo:   Correlacion
Advertencia:   ❌ No se permite imputación sin filtro para esta celda.
Iteración imputación:   3
</t>
      </text>
    </comment>
    <comment ref="AL38" authorId="1" shapeId="0">
      <text>
        <t xml:space="preserve">
=== CORRELATION DETAILS ===
Aeronave:   Ascend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9" authorId="1" shapeId="0">
      <text>
        <t xml:space="preserve">
=== CORRELATION DETAILS ===
Aeronave:   Transition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9" authorId="1" shapeId="0">
      <text>
        <t xml:space="preserve">
=== CORRELATION DETAILS ===
Aeronave:   Transition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9" authorId="1" shapeId="0">
      <text>
        <t xml:space="preserve">=== CÁLCULO APLICADO ===
formula:   TAS_5000 = IAS / sqrt(σ_5000)
inputs:
    IAS:   20
    σ_5000:   0.862
</t>
      </text>
    </comment>
    <comment ref="F39" authorId="1" shapeId="0">
      <text>
        <t xml:space="preserve">=== IMPUTED VALUE ===
Aeronave:   Transition
Parámetro:   Velocidad de pérdida limpia (m/s CAS)
Valor imputado:   13
Confianza:   0.272
Método predictivo:   Correlacion
Iteración imputación:   1
variable_independiente_1:   13
=== CORRELATION DETAILS ===
Aeronave:   Transition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39" authorId="1" shapeId="0">
      <text>
        <t xml:space="preserve">=== IMPUTED VALUE ===
Aeronave:   Transition
Parámetro:   Área del ala
Valor imputado:   0.962
Confianza:   0.243
Método predictivo:   Correlacion
Iteración imputación:   1
variable_independiente_1:   16.5
=== CORRELATION DETAILS ===
Aeronave:   Transition
Parámetro:   Área del ala
Valor imputado:   0.962
Confianza:   0.243
Tipo Modelo:   poly-1
Predictores:   Peso Vacio (MTOW - payload)
Coeficientes: [0.0147, 0.000148]
Peso de predictores: [1]
Aeronaves entrenamiento: [Aerosonde Mk. 4.7 VTOL, Skyeye 2600, Skyeye 2930 VTOL, Skyeye 3600 VTOL, Skyeye 5000 VTOL]
k:   5
Penalizacion_k:   0.272
Corr:   0.892
MAPE:   3.16
R2:   0.994
Confianza_LOOCV:   0.205
k_LOOCV:   5
Corr_LOOCV:   0.753
MAPE_LOOCV:   7.1
R2_LOOCV:   0.98
Método predictivo:   Correlacion
Advertencia:   🟢 Modelo robusto
Familia:   F0
Iteración imputación:   1
variable_independiente_1:   16.5
</t>
      </text>
    </comment>
    <comment ref="H39" authorId="1" shapeId="0">
      <text>
        <t xml:space="preserve">
=== CORRELATION DETAILS ===
Aeronave:   Transition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9" authorId="1" shapeId="0">
      <text>
        <t xml:space="preserve">
=== CORRELATION DETAILS ===
Aeronave:   Transition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9" authorId="1" shapeId="0">
      <text>
        <t xml:space="preserve">
=== CORRELATION DETAILS ===
Aeronave:   Transition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39" authorId="1" shapeId="0">
      <text>
        <t xml:space="preserve">=== CÁLCULO APLICADO ===
formula:   R[km] = h*3600*V/1000
inputs:
    Autonomía[h]:   12
    Velocidad[m/s]:   20
</t>
      </text>
    </comment>
    <comment ref="Q39" authorId="1" shapeId="0">
      <text>
        <t xml:space="preserve">
=== CORRELATION DETAILS ===
Aeronave:   Transition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9" authorId="1" shapeId="0">
      <text>
        <t xml:space="preserve">
=== CORRELATION DETAILS ===
Aeronave:   Transition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9" authorId="1" shapeId="0">
      <text>
        <t xml:space="preserve">
=== CORRELATION DETAILS ===
Aeronave:   Transition
Parámetro:   Cuerda
Valor imputado:   nan
Confianza:   0
Corr:   0
k:   0
Tipo Modelo:   n/a
Predictores:   
Penalizacion_k:   0
Familia:   sin filtro
Método predictivo:   Correlacion
Advertencia:   ❌ No se permite imputación sin filtro para esta celda.
Iteración imputación:   3
</t>
      </text>
    </comment>
    <comment ref="X39" authorId="1" shapeId="0">
      <text>
        <t xml:space="preserve">
=== CORRELATION DETAILS ===
Aeronave:   Transition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39" authorId="1" shapeId="0">
      <text>
        <t xml:space="preserve">
=== CORRELATION DETAILS ===
Aeronave:   Transition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39" authorId="1" shapeId="0">
      <text>
        <t xml:space="preserve">
=== CORRELATION DETAILS ===
Aeronave:   Transition
Parámetro:   Rango de comunicación
Valor imputado:   nan
Confianza:   0
Corr:   0
k:   0
Tipo Modelo:   n/a
Predictores:   
Penalizacion_k:   0
Familia:   F2
Método predictivo:   Correlacion
Advertencia:   ❌ Todos los modelos descartados por LOOCV (MAPE &gt; 12.5% o R2 &lt;= 0.45)
Iteración imputación:   3
</t>
      </text>
    </comment>
    <comment ref="AE39" authorId="1" shapeId="0">
      <text>
        <t xml:space="preserve">
=== CORRELATION DETAILS ===
Aeronave:   Transition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9" authorId="1" shapeId="0">
      <text>
        <t xml:space="preserve">
=== CORRELATION DETAILS ===
Aeronave:   Transition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9" authorId="1" shapeId="0">
      <text>
        <t xml:space="preserve">
=== CORRELATION DETAILS ===
Aeronave:   Transition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39" authorId="1" shapeId="0">
      <text>
        <t xml:space="preserve">
=== CORRELATION DETAILS ===
Aeronave:   Transition
Parámetro:   Consumo
Valor imputado:   nan
Confianza:   0
Corr:   0
k:   0
Tipo Modelo:   n/a
Predictores:   
Penalizacion_k:   0
Familia:   sin filtro
Método predictivo:   Correlacion
Advertencia:   ❌ No se permite imputación sin filtro para esta celda.
Iteración imputación:   3
</t>
      </text>
    </comment>
    <comment ref="AI39" authorId="1" shapeId="0">
      <text>
        <t xml:space="preserve">
=== CORRELATION DETAILS ===
Aeronave:   Transition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9" authorId="1" shapeId="0">
      <text>
        <t xml:space="preserve">
=== CORRELATION DETAILS ===
Aeronave:   Transition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9" authorId="1" shapeId="0">
      <text>
        <t xml:space="preserve">
=== CORRELATION DETAILS ===
Aeronave:   Transition
Parámetro:   Precio
Valor imputado:   nan
Confianza:   0
Corr:   0
k:   0
Tipo Modelo:   n/a
Predictores:   
Penalizacion_k:   0
Familia:   sin filtro
Método predictivo:   Correlacion
Advertencia:   ❌ No se permite imputación sin filtro para esta celda.
Iteración imputación:   3
</t>
      </text>
    </comment>
    <comment ref="AL39" authorId="1" shapeId="0">
      <text>
        <t xml:space="preserve">
=== CORRELATION DETAILS ===
Aeronave:   Transition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0" authorId="1" shapeId="0">
      <text>
        <t xml:space="preserve">
=== CORRELATION DETAILS ===
Aeronave:   Reach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0" authorId="1" shapeId="0">
      <text>
        <t xml:space="preserve">
=== CORRELATION DETAILS ===
Aeronave:   Reach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0" authorId="1" shapeId="0">
      <text>
        <t xml:space="preserve">=== CÁLCULO APLICADO ===
formula:   TAS_5000 = IAS / sqrt(σ_5000)
inputs:
    IAS:   25
    σ_5000:   0.862
</t>
      </text>
    </comment>
    <comment ref="F40" authorId="1" shapeId="0">
      <text>
        <t xml:space="preserve">=== IMPUTED VALUE ===
Aeronave:   Reach
Parámetro:   Velocidad de pérdida limpia (m/s CAS)
Valor imputado:   13
Confianza:   0.272
Método predictivo:   Correlacion
Iteración imputación:   1
variable_independiente_1:   13
=== CORRELATION DETAILS ===
Aeronave:   Reach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text>
    </comment>
    <comment ref="G40" authorId="1" shapeId="0">
      <text>
        <t xml:space="preserve">=== IMPUTED VALUE ===
Aeronave:   Reach
Parámetro:   Área del ala
Valor imputado:   1.12
Confianza:   0.246
Método predictivo:   Correlacion
Iteración imputación:   1
variable_independiente_1:   7
=== CORRELATION DETAILS ===
Aeronave:   Reach
Parámetro:   Área del ala
Valor imputado:   1.12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7
</t>
      </text>
    </comment>
    <comment ref="H40" authorId="1" shapeId="0">
      <text>
        <t xml:space="preserve">
=== CORRELATION DETAILS ===
Aeronave:   Reach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0" authorId="1" shapeId="0">
      <text>
        <t xml:space="preserve">
=== CORRELATION DETAILS ===
Aeronave:   Reach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0" authorId="1" shapeId="0">
      <text>
        <t xml:space="preserve">
=== CORRELATION DETAILS ===
Aeronave:   Reach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0" authorId="1" shapeId="0">
      <text>
        <t xml:space="preserve">=== CÁLCULO APLICADO ===
formula:   R[km] = h*3600*V/1000
inputs:
    Autonomía[h]:   20
    Velocidad[m/s]:   25
</t>
      </text>
    </comment>
    <comment ref="Q40" authorId="1" shapeId="0">
      <text>
        <t xml:space="preserve">
=== CORRELATION DETAILS ===
Aeronave:   Reach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0" authorId="1" shapeId="0">
      <text>
        <t xml:space="preserve">
=== CORRELATION DETAILS ===
Aeronave:   Reach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0" authorId="1" shapeId="0">
      <text>
        <t xml:space="preserve">
=== CORRELATION DETAILS ===
Aeronave:   Reach
Parámetro:   Cuerda
Valor imputado:   nan
Confianza:   0
Corr:   0
k:   0
Tipo Modelo:   n/a
Predictores:   
Penalizacion_k:   0
Familia:   sin filtro
Método predictivo:   Correlacion
Advertencia:   ❌ No se permite imputación sin filtro para esta celda.
Iteración imputación:   3
</t>
      </text>
    </comment>
    <comment ref="X40" authorId="1" shapeId="0">
      <text>
        <t xml:space="preserve">
=== CORRELATION DETAILS ===
Aeronave:   Reach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40" authorId="1" shapeId="0">
      <text>
        <t xml:space="preserve">
=== CORRELATION DETAILS ===
Aeronave:   Reach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40" authorId="1" shapeId="0">
      <text>
        <t xml:space="preserve">
=== CORRELATION DETAILS ===
Aeronave:   Reach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0" authorId="1" shapeId="0">
      <text>
        <t xml:space="preserve">
=== CORRELATION DETAILS ===
Aeronave:   Reach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0" authorId="1" shapeId="0">
      <text>
        <t xml:space="preserve">
=== CORRELATION DETAILS ===
Aeronave:   Reach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0" authorId="1" shapeId="0">
      <text>
        <t xml:space="preserve">
=== CORRELATION DETAILS ===
Aeronave:   Reach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40" authorId="1" shapeId="0">
      <text>
        <t xml:space="preserve">
=== CORRELATION DETAILS ===
Aeronave:   Reach
Parámetro:   Consumo
Valor imputado:   nan
Confianza:   0
Corr:   0
k:   0
Tipo Modelo:   n/a
Predictores:   
Penalizacion_k:   0
Familia:   sin filtro
Método predictivo:   Correlacion
Advertencia:   ❌ No se permite imputación sin filtro para esta celda.
Iteración imputación:   3
</t>
      </text>
    </comment>
    <comment ref="AI40" authorId="1" shapeId="0">
      <text>
        <t xml:space="preserve">
=== CORRELATION DETAILS ===
Aeronave:   Reach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0" authorId="1" shapeId="0">
      <text>
        <t xml:space="preserve">
=== CORRELATION DETAILS ===
Aeronave:   Reach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0" authorId="1" shapeId="0">
      <text>
        <t xml:space="preserve">
=== CORRELATION DETAILS ===
Aeronave:   Reach
Parámetro:   Precio
Valor imputado:   nan
Confianza:   0
Corr:   0
k:   0
Tipo Modelo:   n/a
Predictores:   
Penalizacion_k:   0
Familia:   sin filtro
Método predictivo:   Correlacion
Advertencia:   ❌ No se permite imputación sin filtro para esta celda.
Iteración imputación:   3
</t>
      </text>
    </comment>
    <comment ref="AL40" authorId="1" shapeId="0">
      <text>
        <t xml:space="preserve">
=== CORRELATION DETAILS ===
Aeronave:   Reach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1" authorId="1" shapeId="0">
      <text>
        <t xml:space="preserve">
=== CORRELATION DETAILS ===
Aeronave:   HYFLY H510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1" authorId="1" shapeId="0">
      <text>
        <t xml:space="preserve">
=== CORRELATION DETAILS ===
Aeronave:   HYFLY H510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1" authorId="1" shapeId="0">
      <text>
        <t xml:space="preserve">=== CÁLCULO APLICADO ===
formula:   TAS_5000 = IAS / sqrt(σ_5000)
inputs:
    IAS:   27.7
    σ_5000:   0.862
</t>
      </text>
    </comment>
    <comment ref="E41" authorId="1" shapeId="0">
      <text>
        <t xml:space="preserve">
=== CORRELATION DETAILS ===
Aeronave:   HYFLY H510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1" authorId="1" shapeId="0">
      <text>
        <t xml:space="preserve">
=== CORRELATION DETAILS ===
Aeronave:   HYFLY H510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1" authorId="1" shapeId="0">
      <text>
        <t xml:space="preserve">
=== CORRELATION DETAILS ===
Aeronave:   HYFLY H510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1" authorId="1" shapeId="0">
      <text>
        <t xml:space="preserve">
=== CORRELATION DETAILS ===
Aeronave:   HYFLY H510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41" authorId="1" shapeId="0">
      <text>
        <t xml:space="preserve">
=== CORRELATION DETAILS ===
Aeronave:   HYFLY H510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41" authorId="1" shapeId="0">
      <text>
        <t xml:space="preserve">
=== CORRELATION DETAILS ===
Aeronave:   HYFLY H510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1" authorId="1" shapeId="0">
      <text>
        <t xml:space="preserve">
=== CORRELATION DETAILS ===
Aeronave:   HYFLY H510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1" authorId="1" shapeId="0">
      <text>
        <t xml:space="preserve">
=== CORRELATION DETAILS ===
Aeronave:   HYFLY H510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N41" authorId="1" shapeId="0">
      <text>
        <t xml:space="preserve">
=== CORRELATION DETAILS ===
Aeronave:   HYFLY H510
Parámetro:   Autonomía de la aeronave
Valor imputado:   nan
Confianza:   0
Corr:   0
k:   0
Tipo Modelo:   n/a
Predictores:   
Penalizacion_k:   0
Familia:   sin filtro
Método predictivo:   Correlacion
Advertencia:   ❌ No se permite imputación sin filtro para esta celda.
Iteración imputación:   3
</t>
      </text>
    </comment>
    <comment ref="O41" authorId="1" shapeId="0">
      <text>
        <t xml:space="preserve">
=== CORRELATION DETAILS ===
Aeronave:   HYFLY H510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1" authorId="1" shapeId="0">
      <text>
        <t xml:space="preserve">
=== CORRELATION DETAILS ===
Aeronave:   HYFLY H510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1" authorId="1" shapeId="0">
      <text>
        <t xml:space="preserve">
=== CORRELATION DETAILS ===
Aeronave:   HYFLY H510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1" authorId="1" shapeId="0">
      <text>
        <t xml:space="preserve">
=== CORRELATION DETAILS ===
Aeronave:   HYFLY H510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1" authorId="1" shapeId="0">
      <text>
        <t xml:space="preserve">
=== CORRELATION DETAILS ===
Aeronave:   HYFLY H510
Parámetro:   Cuerda
Valor imputado:   nan
Confianza:   0
Corr:   0
k:   0
Tipo Modelo:   n/a
Predictores:   
Penalizacion_k:   0
Familia:   sin filtro
Método predictivo:   Correlacion
Advertencia:   ❌ No se permite imputación sin filtro para esta celda.
Iteración imputación:   3
</t>
      </text>
    </comment>
    <comment ref="V41" authorId="1" shapeId="0">
      <text>
        <t xml:space="preserve">
=== CORRELATION DETAILS ===
Aeronave:   HYFLY H510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1" authorId="1" shapeId="0">
      <text>
        <t xml:space="preserve">
=== CORRELATION DETAILS ===
Aeronave:   HYFLY H510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1" authorId="1" shapeId="0">
      <text>
        <t xml:space="preserve">
=== CORRELATION DETAILS ===
Aeronave:   HYFLY H510
Parámetro:   Peso frame
Valor imputado:   nan
Confianza:   0
Corr:   0
k:   0
Tipo Modelo:   n/a
Predictores:   
Penalizacion_k:   0
Familia:   sin filtro
Método predictivo:   Correlacion
Advertencia:   ❌ No se permite imputación sin filtro para esta celda.
Iteración imputación:   3
</t>
      </text>
    </comment>
    <comment ref="Z41" authorId="1" shapeId="0">
      <text>
        <t xml:space="preserve">
=== CORRELATION DETAILS ===
Aeronave:   HYFLY H510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1" authorId="1" shapeId="0">
      <text>
        <t xml:space="preserve">=== CÁLCULO APLICADO ===
formula:   W0 = MTOW - Payload
inputs:
    MTOW:   75
    Payload:   10
</t>
      </text>
    </comment>
    <comment ref="AB41" authorId="1" shapeId="0">
      <text>
        <t xml:space="preserve">
=== CORRELATION DETAILS ===
Aeronave:   HYFLY H510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1" authorId="1" shapeId="0">
      <text>
        <t xml:space="preserve">
=== CORRELATION DETAILS ===
Aeronave:   HYFLY H510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41" authorId="1" shapeId="0">
      <text>
        <t xml:space="preserve">
=== CORRELATION DETAILS ===
Aeronave:   HYFLY H510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1" authorId="1" shapeId="0">
      <text>
        <t xml:space="preserve">
=== CORRELATION DETAILS ===
Aeronave:   HYFLY H510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1" authorId="1" shapeId="0">
      <text>
        <t xml:space="preserve">
=== CORRELATION DETAILS ===
Aeronave:   HYFLY H510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1" authorId="1" shapeId="0">
      <text>
        <t xml:space="preserve">
=== CORRELATION DETAILS ===
Aeronave:   HYFLY H510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1" authorId="1" shapeId="0">
      <text>
        <t xml:space="preserve">
=== CORRELATION DETAILS ===
Aeronave:   HYFLY H510
Parámetro:   Consumo
Valor imputado:   nan
Confianza:   0
Corr:   0
k:   0
Tipo Modelo:   n/a
Predictores:   
Penalizacion_k:   0
Familia:   sin filtro
Método predictivo:   Correlacion
Advertencia:   ❌ No se permite imputación sin filtro para esta celda.
Iteración imputación:   3
</t>
      </text>
    </comment>
    <comment ref="AI41" authorId="1" shapeId="0">
      <text>
        <t xml:space="preserve">
=== CORRELATION DETAILS ===
Aeronave:   HYFLY H510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1" authorId="1" shapeId="0">
      <text>
        <t xml:space="preserve">
=== CORRELATION DETAILS ===
Aeronave:   HYFLY H510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1" authorId="1" shapeId="0">
      <text>
        <t xml:space="preserve">
=== CORRELATION DETAILS ===
Aeronave:   HYFLY H510
Parámetro:   Precio
Valor imputado:   nan
Confianza:   0
Corr:   0
k:   0
Tipo Modelo:   n/a
Predictores:   
Penalizacion_k:   0
Familia:   sin filtro
Método predictivo:   Correlacion
Advertencia:   ❌ No se permite imputación sin filtro para esta celda.
Iteración imputación:   3
</t>
      </text>
    </comment>
    <comment ref="AL41" authorId="1" shapeId="0">
      <text>
        <t xml:space="preserve">
=== CORRELATION DETAILS ===
Aeronave:   HYFLY H510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2" authorId="1" shapeId="0">
      <text>
        <t xml:space="preserve">
=== CORRELATION DETAILS ===
Aeronave:   HYFLY H405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2" authorId="1" shapeId="0">
      <text>
        <t xml:space="preserve">
=== CORRELATION DETAILS ===
Aeronave:   HYFLY H405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2" authorId="1" shapeId="0">
      <text>
        <t xml:space="preserve">=== CÁLCULO APLICADO ===
formula:   TAS_5000 = IAS / sqrt(σ_5000)
inputs:
    IAS:   25
    σ_5000:   0.862
</t>
      </text>
    </comment>
    <comment ref="E42" authorId="1" shapeId="0">
      <text>
        <t xml:space="preserve">
=== CORRELATION DETAILS ===
Aeronave:   HYFLY H405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2" authorId="1" shapeId="0">
      <text>
        <t xml:space="preserve">
=== CORRELATION DETAILS ===
Aeronave:   HYFLY H405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2" authorId="1" shapeId="0">
      <text>
        <t xml:space="preserve">
=== CORRELATION DETAILS ===
Aeronave:   HYFLY H405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2" authorId="1" shapeId="0">
      <text>
        <t xml:space="preserve">
=== CORRELATION DETAILS ===
Aeronave:   HYFLY H405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2" authorId="1" shapeId="0">
      <text>
        <t xml:space="preserve">
=== CORRELATION DETAILS ===
Aeronave:   HYFLY H405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2" authorId="1" shapeId="0">
      <text>
        <t xml:space="preserve">
=== CORRELATION DETAILS ===
Aeronave:   HYFLY H405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2" authorId="1" shapeId="0">
      <text>
        <t xml:space="preserve">
=== CORRELATION DETAILS ===
Aeronave:   HYFLY H405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N42" authorId="1" shapeId="0">
      <text>
        <t xml:space="preserve">
=== CORRELATION DETAILS ===
Aeronave:   HYFLY H405
Parámetro:   Autonomía de la aeronave
Valor imputado:   nan
Confianza:   0
Corr:   0
k:   0
Tipo Modelo:   n/a
Predictores:   
Penalizacion_k:   0
Familia:   sin filtro
Método predictivo:   Correlacion
Advertencia:   ❌ No se permite imputación sin filtro para esta celda.
Iteración imputación:   3
</t>
      </text>
    </comment>
    <comment ref="O42" authorId="1" shapeId="0">
      <text>
        <t xml:space="preserve">
=== CORRELATION DETAILS ===
Aeronave:   HYFLY H405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2" authorId="1" shapeId="0">
      <text>
        <t xml:space="preserve">
=== CORRELATION DETAILS ===
Aeronave:   HYFLY H405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2" authorId="1" shapeId="0">
      <text>
        <t xml:space="preserve">
=== CORRELATION DETAILS ===
Aeronave:   HYFLY H405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2" authorId="1" shapeId="0">
      <text>
        <t xml:space="preserve">
=== CORRELATION DETAILS ===
Aeronave:   HYFLY H405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2" authorId="1" shapeId="0">
      <text>
        <t xml:space="preserve">
=== CORRELATION DETAILS ===
Aeronave:   HYFLY H405
Parámetro:   Cuerda
Valor imputado:   nan
Confianza:   0
Corr:   0
k:   0
Tipo Modelo:   n/a
Predictores:   
Penalizacion_k:   0
Familia:   sin filtro
Método predictivo:   Correlacion
Advertencia:   ❌ No se permite imputación sin filtro para esta celda.
Iteración imputación:   3
</t>
      </text>
    </comment>
    <comment ref="V42" authorId="1" shapeId="0">
      <text>
        <t xml:space="preserve">
=== CORRELATION DETAILS ===
Aeronave:   HYFLY H405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2" authorId="1" shapeId="0">
      <text>
        <t xml:space="preserve">
=== CORRELATION DETAILS ===
Aeronave:   HYFLY H405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2" authorId="1" shapeId="0">
      <text>
        <t xml:space="preserve">
=== CORRELATION DETAILS ===
Aeronave:   HYFLY H405
Parámetro:   Peso frame
Valor imputado:   nan
Confianza:   0
Corr:   0
k:   0
Tipo Modelo:   n/a
Predictores:   
Penalizacion_k:   0
Familia:   sin filtro
Método predictivo:   Correlacion
Advertencia:   ❌ No se permite imputación sin filtro para esta celda.
Iteración imputación:   3
</t>
      </text>
    </comment>
    <comment ref="Z42" authorId="1" shapeId="0">
      <text>
        <t xml:space="preserve">
=== CORRELATION DETAILS ===
Aeronave:   HYFLY H405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2" authorId="1" shapeId="0">
      <text>
        <t xml:space="preserve">=== CÁLCULO APLICADO ===
formula:   W0 = MTOW - Payload
inputs:
    MTOW:   25
    Payload:   5
</t>
      </text>
    </comment>
    <comment ref="AB42" authorId="1" shapeId="0">
      <text>
        <t xml:space="preserve">
=== CORRELATION DETAILS ===
Aeronave:   HYFLY H405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2" authorId="1" shapeId="0">
      <text>
        <t xml:space="preserve">
=== CORRELATION DETAILS ===
Aeronave:   HYFLY H405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42" authorId="1" shapeId="0">
      <text>
        <t xml:space="preserve">
=== CORRELATION DETAILS ===
Aeronave:   HYFLY H405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2" authorId="1" shapeId="0">
      <text>
        <t xml:space="preserve">
=== CORRELATION DETAILS ===
Aeronave:   HYFLY H405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2" authorId="1" shapeId="0">
      <text>
        <t xml:space="preserve">
=== CORRELATION DETAILS ===
Aeronave:   HYFLY H405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2" authorId="1" shapeId="0">
      <text>
        <t xml:space="preserve">
=== CORRELATION DETAILS ===
Aeronave:   HYFLY H405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2" authorId="1" shapeId="0">
      <text>
        <t xml:space="preserve">
=== CORRELATION DETAILS ===
Aeronave:   HYFLY H405
Parámetro:   Consumo
Valor imputado:   nan
Confianza:   0
Corr:   0
k:   0
Tipo Modelo:   n/a
Predictores:   
Penalizacion_k:   0
Familia:   sin filtro
Método predictivo:   Correlacion
Advertencia:   ❌ No se permite imputación sin filtro para esta celda.
Iteración imputación:   3
</t>
      </text>
    </comment>
    <comment ref="AI42" authorId="1" shapeId="0">
      <text>
        <t xml:space="preserve">
=== CORRELATION DETAILS ===
Aeronave:   HYFLY H405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2" authorId="1" shapeId="0">
      <text>
        <t xml:space="preserve">
=== CORRELATION DETAILS ===
Aeronave:   HYFLY H405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2" authorId="1" shapeId="0">
      <text>
        <t xml:space="preserve">
=== CORRELATION DETAILS ===
Aeronave:   HYFLY H405
Parámetro:   Precio
Valor imputado:   nan
Confianza:   0
Corr:   0
k:   0
Tipo Modelo:   n/a
Predictores:   
Penalizacion_k:   0
Familia:   sin filtro
Método predictivo:   Correlacion
Advertencia:   ❌ No se permite imputación sin filtro para esta celda.
Iteración imputación:   3
</t>
      </text>
    </comment>
    <comment ref="AL42" authorId="1" shapeId="0">
      <text>
        <t xml:space="preserve">
=== CORRELATION DETAILS ===
Aeronave:   HYFLY H405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4" authorId="1" shapeId="0">
      <text>
        <t xml:space="preserve">
=== CORRELATION DETAILS ===
Aeronave:   JOUAV CW-15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4" authorId="1" shapeId="0">
      <text>
        <t xml:space="preserve">
=== CORRELATION DETAILS ===
Aeronave:   JOUAV CW-15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4" authorId="1" shapeId="0">
      <text>
        <t xml:space="preserve">=== CÁLCULO APLICADO ===
formula:   TAS_5000 = IAS / sqrt(σ_5000)
inputs:
    IAS:   16.9
    σ_5000:   0.862
</t>
      </text>
    </comment>
    <comment ref="F44" authorId="1" shapeId="0">
      <text>
        <t xml:space="preserve">
=== CORRELATION DETAILS ===
Aeronave:   JOUAV CW-15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G44" authorId="1" shapeId="0">
      <text>
        <t xml:space="preserve">
=== CORRELATION DETAILS ===
Aeronave:   JOUAV CW-15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4" authorId="1" shapeId="0">
      <text>
        <t xml:space="preserve">
=== CORRELATION DETAILS ===
Aeronave:   JOUAV CW-15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4" authorId="1" shapeId="0">
      <text>
        <t xml:space="preserve">
=== CORRELATION DETAILS ===
Aeronave:   JOUAV CW-15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4" authorId="1" shapeId="0">
      <text>
        <t xml:space="preserve">
=== CORRELATION DETAILS ===
Aeronave:   JOUAV CW-15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44" authorId="1" shapeId="0">
      <text>
        <t xml:space="preserve">=== CÁLCULO APLICADO ===
formula:   R[km] = h*3600*V/1000
inputs:
    Autonomía[h]:   3
    Velocidad[m/s]:   16.9
</t>
      </text>
    </comment>
    <comment ref="O44" authorId="1" shapeId="0">
      <text>
        <t xml:space="preserve">=== IMPUTED VALUE ===
Aeronave:   JOUAV CW-15
Parámetro:   Velocidad máxima (m/s IAS)
Valor imputado:   33.5
Confianza:   0.348
Método predictivo:   Correlacion
Iteración imputación:   1
variable_independiente_1:   183
=== CORRELATION DETAILS ===
Aeronave:   JOUAV CW-15
Parámetro:   Velocidad máxima (m/s IAS)
Valor imputado:   33.5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183
</t>
      </text>
    </comment>
    <comment ref="P44" authorId="1" shapeId="0">
      <text>
        <t xml:space="preserve">
=== CORRELATION DETAILS ===
Aeronave:   JOUAV CW-15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4" authorId="1" shapeId="0">
      <text>
        <t xml:space="preserve">
=== CORRELATION DETAILS ===
Aeronave:   JOUAV CW-15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4" authorId="1" shapeId="0">
      <text>
        <t xml:space="preserve">
=== CORRELATION DETAILS ===
Aeronave:   JOUAV CW-15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44" authorId="1" shapeId="0">
      <text>
        <t xml:space="preserve">
=== CORRELATION DETAILS ===
Aeronave:   JOUAV CW-15
Parámetro:   Envergadura
Valor imputado:   nan
Confianza:   0
Corr:   0
k:   0
Tipo Modelo:   n/a
Predictores:   
Penalizacion_k:   0
Familia:   sin filtro
Método predictivo:   Correlacion
Advertencia:   ❌ No se permite imputación sin filtro para esta celda.
Iteración imputación:   3
</t>
      </text>
    </comment>
    <comment ref="T44" authorId="1" shapeId="0">
      <text>
        <t xml:space="preserve">
=== CORRELATION DETAILS ===
Aeronave:   JOUAV CW-15
Parámetro:   Cuerda
Valor imputado:   nan
Confianza:   0
Corr:   0
k:   0
Tipo Modelo:   n/a
Predictores:   
Penalizacion_k:   0
Familia:   sin filtro
Método predictivo:   Correlacion
Advertencia:   ❌ No se permite imputación sin filtro para esta celda.
Iteración imputación:   3
</t>
      </text>
    </comment>
    <comment ref="V44" authorId="1" shapeId="0">
      <text>
        <t xml:space="preserve">
=== CORRELATION DETAILS ===
Aeronave:   JOUAV CW-15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4" authorId="1" shapeId="0">
      <text>
        <t xml:space="preserve">
=== CORRELATION DETAILS ===
Aeronave:   JOUAV CW-15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4" authorId="1" shapeId="0">
      <text>
        <t xml:space="preserve">
=== CORRELATION DETAILS ===
Aeronave:   JOUAV CW-15
Parámetro:   Peso frame
Valor imputado:   nan
Confianza:   0
Corr:   0
k:   0
Tipo Modelo:   n/a
Predictores:   
Penalizacion_k:   0
Familia:   sin filtro
Método predictivo:   Correlacion
Advertencia:   ❌ No se permite imputación sin filtro para esta celda.
Iteración imputación:   3
</t>
      </text>
    </comment>
    <comment ref="Z44" authorId="1" shapeId="0">
      <text>
        <t xml:space="preserve">
=== CORRELATION DETAILS ===
Aeronave:   JOUAV CW-15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44" authorId="1" shapeId="0">
      <text>
        <t xml:space="preserve">=== CÁLCULO APLICADO ===
formula:   W0 = MTOW - Payload
inputs:
    MTOW:   17
    Payload:   3
</t>
      </text>
    </comment>
    <comment ref="AB44" authorId="1" shapeId="0">
      <text>
        <t xml:space="preserve">
=== CORRELATION DETAILS ===
Aeronave:   JOUAV CW-15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4" authorId="1" shapeId="0">
      <text>
        <t xml:space="preserve">
=== CORRELATION DETAILS ===
Aeronave:   JOUAV CW-15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4" authorId="1" shapeId="0">
      <text>
        <t xml:space="preserve">
=== CORRELATION DETAILS ===
Aeronave:   JOUAV CW-15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4" authorId="1" shapeId="0">
      <text>
        <t xml:space="preserve">
=== CORRELATION DETAILS ===
Aeronave:   JOUAV CW-15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44" authorId="1" shapeId="0">
      <text>
        <t xml:space="preserve">
=== CORRELATION DETAILS ===
Aeronave:   JOUAV CW-15
Parámetro:   Consumo
Valor imputado:   nan
Confianza:   0
Corr:   0
k:   0
Tipo Modelo:   n/a
Predictores:   
Penalizacion_k:   0
Familia:   sin filtro
Método predictivo:   Correlacion
Advertencia:   ❌ No se permite imputación sin filtro para esta celda.
Iteración imputación:   3
</t>
      </text>
    </comment>
    <comment ref="AI44" authorId="1" shapeId="0">
      <text>
        <t xml:space="preserve">
=== CORRELATION DETAILS ===
Aeronave:   JOUAV CW-15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4" authorId="1" shapeId="0">
      <text>
        <t xml:space="preserve">
=== CORRELATION DETAILS ===
Aeronave:   JOUAV CW-15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4" authorId="1" shapeId="0">
      <text>
        <t xml:space="preserve">
=== CORRELATION DETAILS ===
Aeronave:   JOUAV CW-15
Parámetro:   Precio
Valor imputado:   nan
Confianza:   0
Corr:   0
k:   0
Tipo Modelo:   n/a
Predictores:   
Penalizacion_k:   0
Familia:   sin filtro
Método predictivo:   Correlacion
Advertencia:   ❌ No se permite imputación sin filtro para esta celda.
Iteración imputación:   3
</t>
      </text>
    </comment>
    <comment ref="AL44" authorId="1" shapeId="0">
      <text>
        <t xml:space="preserve">
=== CORRELATION DETAILS ===
Aeronave:   JOUAV CW-15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5" authorId="1" shapeId="0">
      <text>
        <t xml:space="preserve">
=== CORRELATION DETAILS ===
Aeronave:   JOUAV CW-25E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5" authorId="1" shapeId="0">
      <text>
        <t xml:space="preserve">
=== CORRELATION DETAILS ===
Aeronave:   JOUAV CW-25E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5" authorId="1" shapeId="0">
      <text>
        <t xml:space="preserve">=== CÁLCULO APLICADO ===
formula:   TAS_5000 = IAS / sqrt(σ_5000)
inputs:
    IAS:   19.4
    σ_5000:   0.862
</t>
      </text>
    </comment>
    <comment ref="F45" authorId="1" shapeId="0">
      <text>
        <t xml:space="preserve">=== IMPUTED VALUE ===
Aeronave:   JOUAV CW-25E
Parámetro:   Velocidad de pérdida limpia (m/s CAS)
Valor imputado:   14.9
Confianza:   0.333
Método predictivo:   Correlacion
Iteración imputación:   2
variable_independiente_1:   19.4
=== CORRELATION DETAILS ===
Aeronave:   JOUAV CW-25E
Parámetro:   Velocidad de pérdida limpia (m/s CAS)
Valor imputado:   14.9
Confianza:   0.333
Tipo Modelo:   poly-1
Predictores:   Velocidad crucero m/s
Coeficientes: [1.75, -0.0346]
Peso de predictores: [1]
Aeronaves entrenamiento: [V21, V25, JOUAV CW-007, YANGDA Sky Whale Heavy Lift Long Endurance Electric VTOL Drone, YANGDA Sky Whale Max Electric Heavy Lift Long Endurance VTOL Drone, YANGDA Sky Whale Mini Electric Long Endurance VTOL Drone]
k:   6
Penalizacion_k:   0.355
Corr:   0.938
MAPE:   1.16
R2:   0.953
Confianza_LOOCV:   0.283
k_LOOCV:   6
Corr_LOOCV:   0.795
MAPE_LOOCV:   2.62
R2_LOOCV:   0.765
Método predictivo:   Correlacion
Advertencia:   🟢 Modelo robusto
Familia:   F0
Iteración imputación:   2
variable_independiente_1:   19.4
</t>
      </text>
    </comment>
    <comment ref="G45" authorId="1" shapeId="0">
      <text>
        <t xml:space="preserve">
=== CORRELATION DETAILS ===
Aeronave:   JOUAV CW-25E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45" authorId="1" shapeId="0">
      <text>
        <t xml:space="preserve">
=== CORRELATION DETAILS ===
Aeronave:   JOUAV CW-25E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5" authorId="1" shapeId="0">
      <text>
        <t xml:space="preserve">
=== CORRELATION DETAILS ===
Aeronave:   JOUAV CW-25E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5" authorId="1" shapeId="0">
      <text>
        <t xml:space="preserve">
=== CORRELATION DETAILS ===
Aeronave:   JOUAV CW-25E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45" authorId="1" shapeId="0">
      <text>
        <t xml:space="preserve">=== CÁLCULO APLICADO ===
formula:   R[km] = h*3600*V/1000
inputs:
    Autonomía[h]:   3.5
    Velocidad[m/s]:   19.4
</t>
      </text>
    </comment>
    <comment ref="O45" authorId="1" shapeId="0">
      <text>
        <t xml:space="preserve">=== IMPUTED VALUE ===
Aeronave:   JOUAV CW-25E
Parámetro:   Velocidad máxima (m/s IAS)
Valor imputado:   32.2
Confianza:   0.348
Método predictivo:   Correlacion
Iteración imputación:   1
variable_independiente_1:   244
=== CORRELATION DETAILS ===
Aeronave:   JOUAV CW-25E
Parámetro:   Velocidad máxima (m/s IAS)
Valor imputado:   32.2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244
</t>
      </text>
    </comment>
    <comment ref="P45" authorId="1" shapeId="0">
      <text>
        <t xml:space="preserve">
=== CORRELATION DETAILS ===
Aeronave:   JOUAV CW-25E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5" authorId="1" shapeId="0">
      <text>
        <t xml:space="preserve">
=== CORRELATION DETAILS ===
Aeronave:   JOUAV CW-25E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5" authorId="1" shapeId="0">
      <text>
        <t xml:space="preserve">
=== CORRELATION DETAILS ===
Aeronave:   JOUAV CW-25E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5" authorId="1" shapeId="0">
      <text>
        <t xml:space="preserve">
=== CORRELATION DETAILS ===
Aeronave:   JOUAV CW-25E
Parámetro:   Cuerda
Valor imputado:   nan
Confianza:   0
Corr:   0
k:   0
Tipo Modelo:   n/a
Predictores:   
Penalizacion_k:   0
Familia:   sin filtro
Método predictivo:   Correlacion
Advertencia:   ❌ No se permite imputación sin filtro para esta celda.
Iteración imputación:   3
</t>
      </text>
    </comment>
    <comment ref="V45" authorId="1" shapeId="0">
      <text>
        <t xml:space="preserve">
=== CORRELATION DETAILS ===
Aeronave:   JOUAV CW-25E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5" authorId="1" shapeId="0">
      <text>
        <t xml:space="preserve">
=== CORRELATION DETAILS ===
Aeronave:   JOUAV CW-25E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5" authorId="1" shapeId="0">
      <text>
        <t xml:space="preserve">
=== CORRELATION DETAILS ===
Aeronave:   JOUAV CW-25E
Parámetro:   Peso frame
Valor imputado:   nan
Confianza:   0
Corr:   0
k:   0
Tipo Modelo:   n/a
Predictores:   
Penalizacion_k:   0
Familia:   sin filtro
Método predictivo:   Correlacion
Advertencia:   ❌ No se permite imputación sin filtro para esta celda.
Iteración imputación:   3
</t>
      </text>
    </comment>
    <comment ref="Z45" authorId="1" shapeId="0">
      <text>
        <t xml:space="preserve">
=== CORRELATION DETAILS ===
Aeronave:   JOUAV CW-25E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5" authorId="1" shapeId="0">
      <text>
        <t xml:space="preserve">=== CÁLCULO APLICADO ===
formula:   W0 = MTOW - Payload
inputs:
    MTOW:   31.6
    Payload:   6
</t>
      </text>
    </comment>
    <comment ref="AB45" authorId="1" shapeId="0">
      <text>
        <t xml:space="preserve">
=== CORRELATION DETAILS ===
Aeronave:   JOUAV CW-25E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5" authorId="1" shapeId="0">
      <text>
        <t xml:space="preserve">
=== CORRELATION DETAILS ===
Aeronave:   JOUAV CW-25E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5" authorId="1" shapeId="0">
      <text>
        <t xml:space="preserve">
=== CORRELATION DETAILS ===
Aeronave:   JOUAV CW-25E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5" authorId="1" shapeId="0">
      <text>
        <t xml:space="preserve">
=== CORRELATION DETAILS ===
Aeronave:   JOUAV CW-25E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45" authorId="1" shapeId="0">
      <text>
        <t xml:space="preserve">
=== CORRELATION DETAILS ===
Aeronave:   JOUAV CW-25E
Parámetro:   Consumo
Valor imputado:   nan
Confianza:   0
Corr:   0
k:   0
Tipo Modelo:   n/a
Predictores:   
Penalizacion_k:   0
Familia:   sin filtro
Método predictivo:   Correlacion
Advertencia:   ❌ No se permite imputación sin filtro para esta celda.
Iteración imputación:   3
</t>
      </text>
    </comment>
    <comment ref="AI45" authorId="1" shapeId="0">
      <text>
        <t xml:space="preserve">
=== CORRELATION DETAILS ===
Aeronave:   JOUAV CW-25E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5" authorId="1" shapeId="0">
      <text>
        <t xml:space="preserve">
=== CORRELATION DETAILS ===
Aeronave:   JOUAV CW-25E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5" authorId="1" shapeId="0">
      <text>
        <t xml:space="preserve">
=== CORRELATION DETAILS ===
Aeronave:   JOUAV CW-25E
Parámetro:   Precio
Valor imputado:   nan
Confianza:   0
Corr:   0
k:   0
Tipo Modelo:   n/a
Predictores:   
Penalizacion_k:   0
Familia:   sin filtro
Método predictivo:   Correlacion
Advertencia:   ❌ No se permite imputación sin filtro para esta celda.
Iteración imputación:   3
</t>
      </text>
    </comment>
    <comment ref="AL45" authorId="1" shapeId="0">
      <text>
        <t xml:space="preserve">
=== CORRELATION DETAILS ===
Aeronave:   JOUAV CW-25E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6" authorId="1" shapeId="0">
      <text>
        <t xml:space="preserve">
=== CORRELATION DETAILS ===
Aeronave:   JOUAV CW-25H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6" authorId="1" shapeId="0">
      <text>
        <t xml:space="preserve">
=== CORRELATION DETAILS ===
Aeronave:   JOUAV CW-25H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6" authorId="1" shapeId="0">
      <text>
        <t xml:space="preserve">=== CÁLCULO APLICADO ===
formula:   TAS_5000 = IAS / sqrt(σ_5000)
inputs:
    IAS:   22.2
    σ_5000:   0.862
</t>
      </text>
    </comment>
    <comment ref="E46" authorId="1" shapeId="0">
      <text>
        <t xml:space="preserve">
=== CORRELATION DETAILS ===
Aeronave:   JOUAV CW-25H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6" authorId="1" shapeId="0">
      <text>
        <t xml:space="preserve">
=== CORRELATION DETAILS ===
Aeronave:   JOUAV CW-25H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6" authorId="1" shapeId="0">
      <text>
        <t xml:space="preserve">
=== CORRELATION DETAILS ===
Aeronave:   JOUAV CW-25H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6" authorId="1" shapeId="0">
      <text>
        <t xml:space="preserve">
=== CORRELATION DETAILS ===
Aeronave:   JOUAV CW-25H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6" authorId="1" shapeId="0">
      <text>
        <t xml:space="preserve">
=== CORRELATION DETAILS ===
Aeronave:   JOUAV CW-25H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6" authorId="1" shapeId="0">
      <text>
        <t xml:space="preserve">
=== CORRELATION DETAILS ===
Aeronave:   JOUAV CW-25H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O46" authorId="1" shapeId="0">
      <text>
        <t xml:space="preserve">
=== CORRELATION DETAILS ===
Aeronave:   JOUAV CW-25H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6" authorId="1" shapeId="0">
      <text>
        <t xml:space="preserve">
=== CORRELATION DETAILS ===
Aeronave:   JOUAV CW-25H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6" authorId="1" shapeId="0">
      <text>
        <t xml:space="preserve">
=== CORRELATION DETAILS ===
Aeronave:   JOUAV CW-25H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6" authorId="1" shapeId="0">
      <text>
        <t xml:space="preserve">
=== CORRELATION DETAILS ===
Aeronave:   JOUAV CW-25H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6" authorId="1" shapeId="0">
      <text>
        <t xml:space="preserve">
=== CORRELATION DETAILS ===
Aeronave:   JOUAV CW-25H
Parámetro:   Cuerda
Valor imputado:   nan
Confianza:   0
Corr:   0
k:   0
Tipo Modelo:   n/a
Predictores:   
Penalizacion_k:   0
Familia:   sin filtro
Método predictivo:   Correlacion
Advertencia:   ❌ No se permite imputación sin filtro para esta celda.
Iteración imputación:   3
</t>
      </text>
    </comment>
    <comment ref="V46" authorId="1" shapeId="0">
      <text>
        <t xml:space="preserve">
=== CORRELATION DETAILS ===
Aeronave:   JOUAV CW-25H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6" authorId="1" shapeId="0">
      <text>
        <t xml:space="preserve">
=== CORRELATION DETAILS ===
Aeronave:   JOUAV CW-25H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6" authorId="1" shapeId="0">
      <text>
        <t xml:space="preserve">
=== CORRELATION DETAILS ===
Aeronave:   JOUAV CW-25H
Parámetro:   Peso frame
Valor imputado:   nan
Confianza:   0
Corr:   0
k:   0
Tipo Modelo:   n/a
Predictores:   
Penalizacion_k:   0
Familia:   sin filtro
Método predictivo:   Correlacion
Advertencia:   ❌ No se permite imputación sin filtro para esta celda.
Iteración imputación:   3
</t>
      </text>
    </comment>
    <comment ref="Z46" authorId="1" shapeId="0">
      <text>
        <t xml:space="preserve">
=== CORRELATION DETAILS ===
Aeronave:   JOUAV CW-25H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46" authorId="1" shapeId="0">
      <text>
        <t xml:space="preserve">=== CÁLCULO APLICADO ===
formula:   W0 = MTOW - Payload
inputs:
    MTOW:   31
    Payload:   4
</t>
      </text>
    </comment>
    <comment ref="AB46" authorId="1" shapeId="0">
      <text>
        <t xml:space="preserve">
=== CORRELATION DETAILS ===
Aeronave:   JOUAV CW-25H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6" authorId="1" shapeId="0">
      <text>
        <t xml:space="preserve">
=== CORRELATION DETAILS ===
Aeronave:   JOUAV CW-25H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6" authorId="1" shapeId="0">
      <text>
        <t xml:space="preserve">
=== CORRELATION DETAILS ===
Aeronave:   JOUAV CW-25H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6" authorId="1" shapeId="0">
      <text>
        <t xml:space="preserve">
=== CORRELATION DETAILS ===
Aeronave:   JOUAV CW-25H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6" authorId="1" shapeId="0">
      <text>
        <t xml:space="preserve">
=== CORRELATION DETAILS ===
Aeronave:   JOUAV CW-25H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46" authorId="1" shapeId="0">
      <text>
        <t xml:space="preserve">
=== CORRELATION DETAILS ===
Aeronave:   JOUAV CW-25H
Parámetro:   Consumo
Valor imputado:   nan
Confianza:   0
Corr:   0
k:   0
Tipo Modelo:   n/a
Predictores:   
Penalizacion_k:   0
Familia:   sin filtro
Método predictivo:   Correlacion
Advertencia:   ❌ No se permite imputación sin filtro para esta celda.
Iteración imputación:   3
</t>
      </text>
    </comment>
    <comment ref="AI46" authorId="1" shapeId="0">
      <text>
        <t xml:space="preserve">
=== CORRELATION DETAILS ===
Aeronave:   JOUAV CW-25H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6" authorId="1" shapeId="0">
      <text>
        <t xml:space="preserve">
=== CORRELATION DETAILS ===
Aeronave:   JOUAV CW-25H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6" authorId="1" shapeId="0">
      <text>
        <t xml:space="preserve">
=== CORRELATION DETAILS ===
Aeronave:   JOUAV CW-25H
Parámetro:   Precio
Valor imputado:   nan
Confianza:   0
Corr:   0
k:   0
Tipo Modelo:   n/a
Predictores:   
Penalizacion_k:   0
Familia:   sin filtro
Método predictivo:   Correlacion
Advertencia:   ❌ No se permite imputación sin filtro para esta celda.
Iteración imputación:   3
</t>
      </text>
    </comment>
    <comment ref="AL46" authorId="1" shapeId="0">
      <text>
        <t xml:space="preserve">
=== CORRELATION DETAILS ===
Aeronave:   JOUAV CW-25H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8" authorId="1" shapeId="0">
      <text>
        <t xml:space="preserve">
=== CORRELATION DETAILS ===
Aeronave:   JOUAV CW-30E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8" authorId="1" shapeId="0">
      <text>
        <t xml:space="preserve">
=== CORRELATION DETAILS ===
Aeronave:   JOUAV CW-30E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8" authorId="1" shapeId="0">
      <text>
        <t xml:space="preserve">=== CÁLCULO APLICADO ===
formula:   TAS_5000 = IAS / sqrt(σ_5000)
inputs:
    IAS:   25
    σ_5000:   0.862
</t>
      </text>
    </comment>
    <comment ref="F48" authorId="1" shapeId="0">
      <text>
        <t xml:space="preserve">
=== CORRELATION DETAILS ===
Aeronave:   JOUAV CW-30E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8" authorId="1" shapeId="0">
      <text>
        <t xml:space="preserve">
=== CORRELATION DETAILS ===
Aeronave:   JOUAV CW-30E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8" authorId="1" shapeId="0">
      <text>
        <t xml:space="preserve">
=== CORRELATION DETAILS ===
Aeronave:   JOUAV CW-30E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8" authorId="1" shapeId="0">
      <text>
        <t xml:space="preserve">
=== CORRELATION DETAILS ===
Aeronave:   JOUAV CW-30E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8" authorId="1" shapeId="0">
      <text>
        <t xml:space="preserve">
=== CORRELATION DETAILS ===
Aeronave:   JOUAV CW-30E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48" authorId="1" shapeId="0">
      <text>
        <t xml:space="preserve">=== CÁLCULO APLICADO ===
formula:   R[km] = h*3600*V/1000
inputs:
    Autonomía[h]:   8
    Velocidad[m/s]:   25
</t>
      </text>
    </comment>
    <comment ref="O48" authorId="1" shapeId="0">
      <text>
        <t xml:space="preserve">
=== CORRELATION DETAILS ===
Aeronave:   JOUAV CW-30E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8" authorId="1" shapeId="0">
      <text>
        <t xml:space="preserve">
=== CORRELATION DETAILS ===
Aeronave:   JOUAV CW-30E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8" authorId="1" shapeId="0">
      <text>
        <t xml:space="preserve">
=== CORRELATION DETAILS ===
Aeronave:   JOUAV CW-30E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8" authorId="1" shapeId="0">
      <text>
        <t xml:space="preserve">
=== CORRELATION DETAILS ===
Aeronave:   JOUAV CW-30E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8" authorId="1" shapeId="0">
      <text>
        <t xml:space="preserve">
=== CORRELATION DETAILS ===
Aeronave:   JOUAV CW-30E
Parámetro:   Cuerda
Valor imputado:   nan
Confianza:   0
Corr:   0
k:   0
Tipo Modelo:   n/a
Predictores:   
Penalizacion_k:   0
Familia:   sin filtro
Método predictivo:   Correlacion
Advertencia:   ❌ No se permite imputación sin filtro para esta celda.
Iteración imputación:   3
</t>
      </text>
    </comment>
    <comment ref="V48" authorId="1" shapeId="0">
      <text>
        <t xml:space="preserve">
=== CORRELATION DETAILS ===
Aeronave:   JOUAV CW-30E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8" authorId="1" shapeId="0">
      <text>
        <t xml:space="preserve">
=== CORRELATION DETAILS ===
Aeronave:   JOUAV CW-30E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8" authorId="1" shapeId="0">
      <text>
        <t xml:space="preserve">
=== CORRELATION DETAILS ===
Aeronave:   JOUAV CW-30E
Parámetro:   Peso frame
Valor imputado:   nan
Confianza:   0
Corr:   0
k:   0
Tipo Modelo:   n/a
Predictores:   
Penalizacion_k:   0
Familia:   sin filtro
Método predictivo:   Correlacion
Advertencia:   ❌ No se permite imputación sin filtro para esta celda.
Iteración imputación:   3
</t>
      </text>
    </comment>
    <comment ref="Z48" authorId="1" shapeId="0">
      <text>
        <t xml:space="preserve">
=== CORRELATION DETAILS ===
Aeronave:   JOUAV CW-30E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8" authorId="1" shapeId="0">
      <text>
        <t xml:space="preserve">=== CÁLCULO APLICADO ===
formula:   W0 = MTOW - Payload
inputs:
    MTOW:   38
    Payload:   10
</t>
      </text>
    </comment>
    <comment ref="AB48" authorId="1" shapeId="0">
      <text>
        <t xml:space="preserve">
=== CORRELATION DETAILS ===
Aeronave:   JOUAV CW-30E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8" authorId="1" shapeId="0">
      <text>
        <t xml:space="preserve">
=== CORRELATION DETAILS ===
Aeronave:   JOUAV CW-30E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8" authorId="1" shapeId="0">
      <text>
        <t xml:space="preserve">
=== CORRELATION DETAILS ===
Aeronave:   JOUAV CW-30E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8" authorId="1" shapeId="0">
      <text>
        <t xml:space="preserve">
=== CORRELATION DETAILS ===
Aeronave:   JOUAV CW-30E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8" authorId="1" shapeId="0">
      <text>
        <t xml:space="preserve">
=== CORRELATION DETAILS ===
Aeronave:   JOUAV CW-30E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48" authorId="1" shapeId="0">
      <text>
        <t xml:space="preserve">
=== CORRELATION DETAILS ===
Aeronave:   JOUAV CW-30E
Parámetro:   Consumo
Valor imputado:   nan
Confianza:   0
Corr:   0
k:   0
Tipo Modelo:   n/a
Predictores:   
Penalizacion_k:   0
Familia:   sin filtro
Método predictivo:   Correlacion
Advertencia:   ❌ No se permite imputación sin filtro para esta celda.
Iteración imputación:   3
</t>
      </text>
    </comment>
    <comment ref="AI48" authorId="1" shapeId="0">
      <text>
        <t xml:space="preserve">
=== CORRELATION DETAILS ===
Aeronave:   JOUAV CW-30E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8" authorId="1" shapeId="0">
      <text>
        <t xml:space="preserve">
=== CORRELATION DETAILS ===
Aeronave:   JOUAV CW-30E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8" authorId="1" shapeId="0">
      <text>
        <t xml:space="preserve">
=== CORRELATION DETAILS ===
Aeronave:   JOUAV CW-30E
Parámetro:   Precio
Valor imputado:   nan
Confianza:   0
Corr:   0
k:   0
Tipo Modelo:   n/a
Predictores:   
Penalizacion_k:   0
Familia:   sin filtro
Método predictivo:   Correlacion
Advertencia:   ❌ No se permite imputación sin filtro para esta celda.
Iteración imputación:   3
</t>
      </text>
    </comment>
    <comment ref="AL48" authorId="1" shapeId="0">
      <text>
        <t xml:space="preserve">
=== CORRELATION DETAILS ===
Aeronave:   JOUAV CW-30E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9" authorId="1" shapeId="0">
      <text>
        <t xml:space="preserve">
=== CORRELATION DETAILS ===
Aeronave:   JOUAV CW-80E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9" authorId="1" shapeId="0">
      <text>
        <t xml:space="preserve">
=== CORRELATION DETAILS ===
Aeronave:   JOUAV CW-80E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9" authorId="1" shapeId="0">
      <text>
        <t xml:space="preserve">=== CÁLCULO APLICADO ===
formula:   TAS_5000 = IAS / sqrt(σ_5000)
inputs:
    IAS:   33.3
    σ_5000:   0.862
</t>
      </text>
    </comment>
    <comment ref="F49" authorId="1" shapeId="0">
      <text>
        <t xml:space="preserve">
=== CORRELATION DETAILS ===
Aeronave:   JOUAV CW-80E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9" authorId="1" shapeId="0">
      <text>
        <t xml:space="preserve">
=== CORRELATION DETAILS ===
Aeronave:   JOUAV CW-80E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49" authorId="1" shapeId="0">
      <text>
        <t xml:space="preserve">
=== CORRELATION DETAILS ===
Aeronave:   JOUAV CW-80E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9" authorId="1" shapeId="0">
      <text>
        <t xml:space="preserve">
=== CORRELATION DETAILS ===
Aeronave:   JOUAV CW-80E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9" authorId="1" shapeId="0">
      <text>
        <t xml:space="preserve">
=== CORRELATION DETAILS ===
Aeronave:   JOUAV CW-80E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9" authorId="1" shapeId="0">
      <text>
        <t xml:space="preserve">=== CÁLCULO APLICADO ===
formula:   R[km] = h*3600*V/1000
inputs:
    Autonomía[h]:   10
    Velocidad[m/s]:   33.3
</t>
      </text>
    </comment>
    <comment ref="P49" authorId="1" shapeId="0">
      <text>
        <t xml:space="preserve">
=== CORRELATION DETAILS ===
Aeronave:   JOUAV CW-80E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9" authorId="1" shapeId="0">
      <text>
        <t xml:space="preserve">
=== CORRELATION DETAILS ===
Aeronave:   JOUAV CW-80E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9" authorId="1" shapeId="0">
      <text>
        <t xml:space="preserve">
=== CORRELATION DETAILS ===
Aeronave:   JOUAV CW-80E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9" authorId="1" shapeId="0">
      <text>
        <t xml:space="preserve">
=== CORRELATION DETAILS ===
Aeronave:   JOUAV CW-80E
Parámetro:   Cuerda
Valor imputado:   nan
Confianza:   0
Corr:   0
k:   0
Tipo Modelo:   n/a
Predictores:   
Penalizacion_k:   0
Familia:   sin filtro
Método predictivo:   Correlacion
Advertencia:   ❌ No se permite imputación sin filtro para esta celda.
Iteración imputación:   3
</t>
      </text>
    </comment>
    <comment ref="V49" authorId="1" shapeId="0">
      <text>
        <t xml:space="preserve">
=== CORRELATION DETAILS ===
Aeronave:   JOUAV CW-80E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9" authorId="1" shapeId="0">
      <text>
        <t xml:space="preserve">
=== CORRELATION DETAILS ===
Aeronave:   JOUAV CW-80E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9" authorId="1" shapeId="0">
      <text>
        <t xml:space="preserve">
=== CORRELATION DETAILS ===
Aeronave:   JOUAV CW-80E
Parámetro:   Peso frame
Valor imputado:   nan
Confianza:   0
Corr:   0
k:   0
Tipo Modelo:   n/a
Predictores:   
Penalizacion_k:   0
Familia:   sin filtro
Método predictivo:   Correlacion
Advertencia:   ❌ No se permite imputación sin filtro para esta celda.
Iteración imputación:   3
</t>
      </text>
    </comment>
    <comment ref="Z49" authorId="1" shapeId="0">
      <text>
        <t xml:space="preserve">
=== CORRELATION DETAILS ===
Aeronave:   JOUAV CW-80E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9" authorId="1" shapeId="0">
      <text>
        <t xml:space="preserve">=== CÁLCULO APLICADO ===
formula:   W0 = MTOW - Payload
inputs:
    MTOW:   110
    Payload:   25
</t>
      </text>
    </comment>
    <comment ref="AB49" authorId="1" shapeId="0">
      <text>
        <t xml:space="preserve">
=== CORRELATION DETAILS ===
Aeronave:   JOUAV CW-80E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9" authorId="1" shapeId="0">
      <text>
        <t xml:space="preserve">
=== CORRELATION DETAILS ===
Aeronave:   JOUAV CW-80E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9" authorId="1" shapeId="0">
      <text>
        <t xml:space="preserve">
=== CORRELATION DETAILS ===
Aeronave:   JOUAV CW-80E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9" authorId="1" shapeId="0">
      <text>
        <t xml:space="preserve">
=== CORRELATION DETAILS ===
Aeronave:   JOUAV CW-80E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49" authorId="1" shapeId="0">
      <text>
        <t xml:space="preserve">
=== CORRELATION DETAILS ===
Aeronave:   JOUAV CW-80E
Parámetro:   Consumo
Valor imputado:   nan
Confianza:   0
Corr:   0
k:   0
Tipo Modelo:   n/a
Predictores:   
Penalizacion_k:   0
Familia:   sin filtro
Método predictivo:   Correlacion
Advertencia:   ❌ No se permite imputación sin filtro para esta celda.
Iteración imputación:   3
</t>
      </text>
    </comment>
    <comment ref="AI49" authorId="1" shapeId="0">
      <text>
        <t xml:space="preserve">
=== CORRELATION DETAILS ===
Aeronave:   JOUAV CW-80E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9" authorId="1" shapeId="0">
      <text>
        <t xml:space="preserve">
=== CORRELATION DETAILS ===
Aeronave:   JOUAV CW-80E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9" authorId="1" shapeId="0">
      <text>
        <t xml:space="preserve">
=== CORRELATION DETAILS ===
Aeronave:   JOUAV CW-80E
Parámetro:   Precio
Valor imputado:   nan
Confianza:   0
Corr:   0
k:   0
Tipo Modelo:   n/a
Predictores:   
Penalizacion_k:   0
Familia:   sin filtro
Método predictivo:   Correlacion
Advertencia:   ❌ No se permite imputación sin filtro para esta celda.
Iteración imputación:   3
</t>
      </text>
    </comment>
    <comment ref="AL49" authorId="1" shapeId="0">
      <text>
        <t xml:space="preserve">
=== CORRELATION DETAILS ===
Aeronave:   JOUAV CW-80E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0" authorId="1" shapeId="0">
      <text>
        <t xml:space="preserve">
=== CORRELATION DETAILS ===
Aeronave:   L3Harris FVR–90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0" authorId="1" shapeId="0">
      <text>
        <t xml:space="preserve">
=== CORRELATION DETAILS ===
Aeronave:   L3Harris FVR–90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0" authorId="1" shapeId="0">
      <text>
        <t xml:space="preserve">=== CÁLCULO APLICADO ===
formula:   TAS_5000 = IAS / sqrt(σ_5000)
inputs:
    IAS:   25.7
    σ_5000:   0.862
</t>
      </text>
    </comment>
    <comment ref="E50" authorId="1" shapeId="0">
      <text>
        <t xml:space="preserve">
=== CORRELATION DETAILS ===
Aeronave:   L3Harris FVR–90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0" authorId="1" shapeId="0">
      <text>
        <t xml:space="preserve">
=== CORRELATION DETAILS ===
Aeronave:   L3Harris FVR–90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0" authorId="1" shapeId="0">
      <text>
        <t xml:space="preserve">
=== CORRELATION DETAILS ===
Aeronave:   L3Harris FVR–90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50" authorId="1" shapeId="0">
      <text>
        <t xml:space="preserve">
=== CORRELATION DETAILS ===
Aeronave:   L3Harris FVR–90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0" authorId="1" shapeId="0">
      <text>
        <t xml:space="preserve">
=== CORRELATION DETAILS ===
Aeronave:   L3Harris FVR–90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0" authorId="1" shapeId="0">
      <text>
        <t xml:space="preserve">
=== CORRELATION DETAILS ===
Aeronave:   L3Harris FVR–90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0" authorId="1" shapeId="0">
      <text>
        <t xml:space="preserve">
=== CORRELATION DETAILS ===
Aeronave:   L3Harris FVR–90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50" authorId="1" shapeId="0">
      <text>
        <t xml:space="preserve">
=== CORRELATION DETAILS ===
Aeronave:   L3Harris FVR–90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0" authorId="1" shapeId="0">
      <text>
        <t xml:space="preserve">
=== CORRELATION DETAILS ===
Aeronave:   L3Harris FVR–90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0" authorId="1" shapeId="0">
      <text>
        <t xml:space="preserve">
=== CORRELATION DETAILS ===
Aeronave:   L3Harris FVR–90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0" authorId="1" shapeId="0">
      <text>
        <t xml:space="preserve">
=== CORRELATION DETAILS ===
Aeronave:   L3Harris FVR–90
Parámetro:   Cuerda
Valor imputado:   nan
Confianza:   0
Corr:   0
k:   0
Tipo Modelo:   n/a
Predictores:   
Penalizacion_k:   0
Familia:   sin filtro
Método predictivo:   Correlacion
Advertencia:   ❌ No se permite imputación sin filtro para esta celda.
Iteración imputación:   3
</t>
      </text>
    </comment>
    <comment ref="V50" authorId="1" shapeId="0">
      <text>
        <t xml:space="preserve">
=== CORRELATION DETAILS ===
Aeronave:   L3Harris FVR–90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0" authorId="1" shapeId="0">
      <text>
        <t xml:space="preserve">
=== CORRELATION DETAILS ===
Aeronave:   L3Harris FVR–90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0" authorId="1" shapeId="0">
      <text>
        <t xml:space="preserve">
=== CORRELATION DETAILS ===
Aeronave:   L3Harris FVR–90
Parámetro:   Peso frame
Valor imputado:   nan
Confianza:   0
Corr:   0
k:   0
Tipo Modelo:   n/a
Predictores:   
Penalizacion_k:   0
Familia:   sin filtro
Método predictivo:   Correlacion
Advertencia:   ❌ No se permite imputación sin filtro para esta celda.
Iteración imputación:   3
</t>
      </text>
    </comment>
    <comment ref="AA50" authorId="1" shapeId="0">
      <text>
        <t xml:space="preserve">=== CÁLCULO APLICADO ===
formula:   W0 = MTOW - Payload
inputs:
    MTOW:   54.4
    Payload:   10
</t>
      </text>
    </comment>
    <comment ref="AB50" authorId="1" shapeId="0">
      <text>
        <t xml:space="preserve">
=== CORRELATION DETAILS ===
Aeronave:   L3Harris FVR–90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0" authorId="1" shapeId="0">
      <text>
        <t xml:space="preserve">
=== CORRELATION DETAILS ===
Aeronave:   L3Harris FVR–90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0" authorId="1" shapeId="0">
      <text>
        <t xml:space="preserve">
=== CORRELATION DETAILS ===
Aeronave:   L3Harris FVR–90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0" authorId="1" shapeId="0">
      <text>
        <t xml:space="preserve">
=== CORRELATION DETAILS ===
Aeronave:   L3Harris FVR–90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0" authorId="1" shapeId="0">
      <text>
        <t xml:space="preserve">
=== CORRELATION DETAILS ===
Aeronave:   L3Harris FVR–90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50" authorId="1" shapeId="0">
      <text>
        <t xml:space="preserve">
=== CORRELATION DETAILS ===
Aeronave:   L3Harris FVR–90
Parámetro:   Consumo
Valor imputado:   nan
Confianza:   0
Corr:   0
k:   0
Tipo Modelo:   n/a
Predictores:   
Penalizacion_k:   0
Familia:   sin filtro
Método predictivo:   Correlacion
Advertencia:   ❌ No se permite imputación sin filtro para esta celda.
Iteración imputación:   3
</t>
      </text>
    </comment>
    <comment ref="AI50" authorId="1" shapeId="0">
      <text>
        <t xml:space="preserve">
=== CORRELATION DETAILS ===
Aeronave:   L3Harris FVR–90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0" authorId="1" shapeId="0">
      <text>
        <t xml:space="preserve">
=== CORRELATION DETAILS ===
Aeronave:   L3Harris FVR–90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0" authorId="1" shapeId="0">
      <text>
        <t xml:space="preserve">
=== CORRELATION DETAILS ===
Aeronave:   L3Harris FVR–90
Parámetro:   Precio
Valor imputado:   nan
Confianza:   0
Corr:   0
k:   0
Tipo Modelo:   n/a
Predictores:   
Penalizacion_k:   0
Familia:   sin filtro
Método predictivo:   Correlacion
Advertencia:   ❌ No se permite imputación sin filtro para esta celda.
Iteración imputación:   3
</t>
      </text>
    </comment>
    <comment ref="AL50" authorId="1" shapeId="0">
      <text>
        <t xml:space="preserve">
=== CORRELATION DETAILS ===
Aeronave:   L3Harris FVR–90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1" authorId="1" shapeId="0">
      <text>
        <t xml:space="preserve">
=== CORRELATION DETAILS ===
Aeronave:   SwoopAero Kite™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1" authorId="1" shapeId="0">
      <text>
        <t xml:space="preserve">
=== CORRELATION DETAILS ===
Aeronave:   SwoopAero Kite™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1" authorId="1" shapeId="0">
      <text>
        <t xml:space="preserve">=== CÁLCULO APLICADO ===
formula:   TAS_5000 = IAS / sqrt(σ_5000)
inputs:
    IAS:   33.8
    σ_5000:   0.862
</t>
      </text>
    </comment>
    <comment ref="F51" authorId="1" shapeId="0">
      <text>
        <t xml:space="preserve">=== IMPUTED VALUE ===
Aeronave:   SwoopAero Kite™
Parámetro:   Velocidad de pérdida limpia (m/s CAS)
Valor imputado:   15.1
Confianza:   0.701
Método predictivo:   Correlacion
Iteración imputación:   2
variable_independiente_1:   225
=== CORRELATION DETAILS ===
Aeronave:   SwoopAero Kite™
Parámetro:   Velocidad de pérdida limpia (m/s CAS)
Valor imputado:   15.1
Confianza:   0.701
Tipo Modelo:   exp-1
Predictores:   Alcance de la aeronave
Coeficientes: [0.000459]
Peso de predictores: [1]
Aeronaves entrenamiento: [V21, V25, JOUAV CW-007, YANGDA Sky Whale Heavy Lift Long Endurance Electric VTOL Drone, YANGDA Sky Whale Max Electric Heavy Lift Long Endurance VTOL Drone, YANGDA Sky Whale Mini Electric Long Endurance VTOL Drone, Trinity Pro, Trinity F90+, Vector, FIXAR 007 NG, Atmos Marlyn Cobalt (VTOL ala fija), Raybe (BETA UAS)]
k:   12
Penalizacion_k:   0.826
Corr:   0.849
MAPE:   1.96
R2:   0.828
Confianza_LOOCV:   0.665
k_LOOCV:   12
Corr_LOOCV:   0.805
MAPE_LOOCV:   2.31
R2_LOOCV:   0.764
Método predictivo:   Correlacion
Advertencia:   🟢 Modelo robusto
Familia:   F1
Iteración imputación:   2
variable_independiente_1:   225
</t>
      </text>
    </comment>
    <comment ref="G51" authorId="1" shapeId="0">
      <text>
        <t xml:space="preserve">
=== CORRELATION DETAILS ===
Aeronave:   SwoopAero Kite™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1" authorId="1" shapeId="0">
      <text>
        <t xml:space="preserve">
=== CORRELATION DETAILS ===
Aeronave:   SwoopAero Kite™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1" authorId="1" shapeId="0">
      <text>
        <t xml:space="preserve">
=== CORRELATION DETAILS ===
Aeronave:   SwoopAero Kite™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1" authorId="1" shapeId="0">
      <text>
        <t xml:space="preserve">
=== CORRELATION DETAILS ===
Aeronave:   SwoopAero Kite™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1" authorId="1" shapeId="0">
      <text>
        <t xml:space="preserve">
=== CORRELATION DETAILS ===
Aeronave:   SwoopAero Kite™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N51" authorId="1" shapeId="0">
      <text>
        <t xml:space="preserve">=== CÁLCULO APLICADO ===
formula:   h = R*1000/(V*3600)
inputs:
    R[km]:   225
    Velocidad[m/s]:   33.8
</t>
      </text>
    </comment>
    <comment ref="P51" authorId="1" shapeId="0">
      <text>
        <t xml:space="preserve">
=== CORRELATION DETAILS ===
Aeronave:   SwoopAero Kite™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1" authorId="1" shapeId="0">
      <text>
        <t xml:space="preserve">
=== CORRELATION DETAILS ===
Aeronave:   SwoopAero Kite™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1" authorId="1" shapeId="0">
      <text>
        <t xml:space="preserve">
=== CORRELATION DETAILS ===
Aeronave:   SwoopAero Kite™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1" authorId="1" shapeId="0">
      <text>
        <t xml:space="preserve">
=== CORRELATION DETAILS ===
Aeronave:   SwoopAero Kite™
Parámetro:   Cuerda
Valor imputado:   nan
Confianza:   0
Corr:   0
k:   0
Tipo Modelo:   n/a
Predictores:   
Penalizacion_k:   0
Familia:   sin filtro
Método predictivo:   Correlacion
Advertencia:   ❌ No se permite imputación sin filtro para esta celda.
Iteración imputación:   3
</t>
      </text>
    </comment>
    <comment ref="U51" authorId="1" shapeId="0">
      <text>
        <t xml:space="preserve">
=== CORRELATION DETAILS ===
Aeronave:   SwoopAero Kite™
Parámetro:   Payload
Valor imputado:   nan
Confianza:   0
Corr:   0
k:   0
Tipo Modelo:   n/a
Predictores:   
Penalizacion_k:   0
Familia:   sin filtro
Método predictivo:   Correlacion
Advertencia:   ❌ No se permite imputación sin filtro para esta celda.
Iteración imputación:   3
</t>
      </text>
    </comment>
    <comment ref="V51" authorId="1" shapeId="0">
      <text>
        <t xml:space="preserve">
=== CORRELATION DETAILS ===
Aeronave:   SwoopAero Kite™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1" authorId="1" shapeId="0">
      <text>
        <t xml:space="preserve">
=== CORRELATION DETAILS ===
Aeronave:   SwoopAero Kite™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1" authorId="1" shapeId="0">
      <text>
        <t xml:space="preserve">
=== CORRELATION DETAILS ===
Aeronave:   SwoopAero Kite™
Parámetro:   Peso frame
Valor imputado:   nan
Confianza:   0
Corr:   0
k:   0
Tipo Modelo:   n/a
Predictores:   
Penalizacion_k:   0
Familia:   sin filtro
Método predictivo:   Correlacion
Advertencia:   ❌ No se permite imputación sin filtro para esta celda.
Iteración imputación:   3
</t>
      </text>
    </comment>
    <comment ref="Z51" authorId="1" shapeId="0">
      <text>
        <t xml:space="preserve">
=== CORRELATION DETAILS ===
Aeronave:   SwoopAero Kite™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1" authorId="1" shapeId="0">
      <text>
        <t xml:space="preserve">
=== CORRELATION DETAILS ===
Aeronave:   SwoopAero Kite™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1" authorId="1" shapeId="0">
      <text>
        <t xml:space="preserve">
=== CORRELATION DETAILS ===
Aeronave:   SwoopAero Kite™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1" authorId="1" shapeId="0">
      <text>
        <t xml:space="preserve">
=== CORRELATION DETAILS ===
Aeronave:   SwoopAero Kite™
Parámetro:   Maximum Crosswind (sostenido)
Valor imputado:   nan
Confianza:   0
Corr:   0
k:   0
Tipo Modelo:   n/a
Predictores:   
Penalizacion_k:   0
Familia:   F2
Método predictivo:   Correlacion
Advertencia:   ❌ Todos los modelos descartados por LOOCV (MAPE &gt; 12.5% o R2 &lt;= 0.45)
Iteración imputación:   3
</t>
      </text>
    </comment>
    <comment ref="AD51" authorId="1" shapeId="0">
      <text>
        <t xml:space="preserve">
=== CORRELATION DETAILS ===
Aeronave:   SwoopAero Kite™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1" authorId="1" shapeId="0">
      <text>
        <t xml:space="preserve">
=== CORRELATION DETAILS ===
Aeronave:   SwoopAero Kite™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1" authorId="1" shapeId="0">
      <text>
        <t xml:space="preserve">
=== CORRELATION DETAILS ===
Aeronave:   SwoopAero Kite™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1" authorId="1" shapeId="0">
      <text>
        <t xml:space="preserve">
=== CORRELATION DETAILS ===
Aeronave:   SwoopAero Kite™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1" authorId="1" shapeId="0">
      <text>
        <t xml:space="preserve">
=== CORRELATION DETAILS ===
Aeronave:   SwoopAero Kite™
Parámetro:   Consumo
Valor imputado:   nan
Confianza:   0
Corr:   0
k:   0
Tipo Modelo:   n/a
Predictores:   
Penalizacion_k:   0
Familia:   sin filtro
Método predictivo:   Correlacion
Advertencia:   ❌ No se permite imputación sin filtro para esta celda.
Iteración imputación:   3
</t>
      </text>
    </comment>
    <comment ref="AI51" authorId="1" shapeId="0">
      <text>
        <t xml:space="preserve">
=== CORRELATION DETAILS ===
Aeronave:   SwoopAero Kite™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1" authorId="1" shapeId="0">
      <text>
        <t xml:space="preserve">
=== CORRELATION DETAILS ===
Aeronave:   SwoopAero Kite™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1" authorId="1" shapeId="0">
      <text>
        <t xml:space="preserve">
=== CORRELATION DETAILS ===
Aeronave:   SwoopAero Kite™
Parámetro:   Precio
Valor imputado:   nan
Confianza:   0
Corr:   0
k:   0
Tipo Modelo:   n/a
Predictores:   
Penalizacion_k:   0
Familia:   sin filtro
Método predictivo:   Correlacion
Advertencia:   ❌ No se permite imputación sin filtro para esta celda.
Iteración imputación:   3
</t>
      </text>
    </comment>
    <comment ref="AL51" authorId="1" shapeId="0">
      <text>
        <t xml:space="preserve">
=== CORRELATION DETAILS ===
Aeronave:   SwoopAero Kite™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2" authorId="1" shapeId="0">
      <text>
        <t xml:space="preserve">
=== CORRELATION DETAILS ===
Aeronave:   YANGDA Sky Whale Heavy Lift Long Endurance Electric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2" authorId="1" shapeId="0">
      <text>
        <t xml:space="preserve">
=== CORRELATION DETAILS ===
Aeronave:   YANGDA Sky Whale Heavy Lift Long Endurance Electric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2" authorId="1" shapeId="0">
      <text>
        <t xml:space="preserve">=== CÁLCULO APLICADO ===
formula:   TAS_5000 = IAS / sqrt(σ_5000)
inputs:
    IAS:   25
    σ_5000:   0.862
</t>
      </text>
    </comment>
    <comment ref="G52" authorId="1" shapeId="0">
      <text>
        <t xml:space="preserve">
=== CORRELATION DETAILS ===
Aeronave:   YANGDA Sky Whale Heavy Lift Long Endurance Electric VTOL Drone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52" authorId="1" shapeId="0">
      <text>
        <t xml:space="preserve">
=== CORRELATION DETAILS ===
Aeronave:   YANGDA Sky Whale Heavy Lift Long Endurance Electric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2" authorId="1" shapeId="0">
      <text>
        <t xml:space="preserve">
=== CORRELATION DETAILS ===
Aeronave:   YANGDA Sky Whale Heavy Lift Long Endurance Electric VTOL Drone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2" authorId="1" shapeId="0">
      <text>
        <t xml:space="preserve">
=== CORRELATION DETAILS ===
Aeronave:   YANGDA Sky Whale Heavy Lift Long Endurance Electric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2" authorId="1" shapeId="0">
      <text>
        <t xml:space="preserve">
=== CORRELATION DETAILS ===
Aeronave:   YANGDA Sky Whale Heavy Lift Long Endurance Electric VTOL Drone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52" authorId="1" shapeId="0">
      <text>
        <t xml:space="preserve">=== CÁLCULO APLICADO ===
formula:   R[km] = h*3600*V/1000
inputs:
    Autonomía[h]:   3.5
    Velocidad[m/s]:   25
</t>
      </text>
    </comment>
    <comment ref="P52" authorId="1" shapeId="0">
      <text>
        <t xml:space="preserve">=== IMPUTED VALUE ===
Aeronave:   YANGDA Sky Whale Heavy Lift Long Endurance Electric VTOL Drone
Parámetro:   Velocidad de pérdida (m/s CAS)
Valor imputado:   16
Confianza:   0.442
Método predictivo:   Correlacion
Iteración imputación:   1
variable_independiente_1:   16
=== CORRELATION DETAILS ===
Aeronave:   YANGDA Sky Whale Heavy Lift Long Endurance Electric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R52" authorId="1" shapeId="0">
      <text>
        <t xml:space="preserve">
=== CORRELATION DETAILS ===
Aeronave:   YANGDA Sky Whale Heavy Lift Long Endurance Electric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2" authorId="1" shapeId="0">
      <text>
        <t xml:space="preserve">
=== CORRELATION DETAILS ===
Aeronave:   YANGDA Sky Whale Heavy Lift Long Endurance Electric VTOL Drone
Parámetro:   Envergadura
Valor imputado:   nan
Confianza:   0
Corr:   0
k:   0
Tipo Modelo:   n/a
Predictores:   
Penalizacion_k:   0
Familia:   F0
Método predictivo:   Correlacion
Advertencia:   ❌ Todos los modelos descartados por LOOCV (MAPE &gt; 12.5% o R2 &lt;= 0.45)
Iteración imputación:   3
</t>
      </text>
    </comment>
    <comment ref="T52" authorId="1" shapeId="0">
      <text>
        <t xml:space="preserve">
=== CORRELATION DETAILS ===
Aeronave:   YANGDA Sky Whale Heavy Lift Long Endurance Electric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2" authorId="1" shapeId="0">
      <text>
        <t xml:space="preserve">
=== CORRELATION DETAILS ===
Aeronave:   YANGDA Sky Whale Heavy Lift Long Endurance Electric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2" authorId="1" shapeId="0">
      <text>
        <t xml:space="preserve">
=== CORRELATION DETAILS ===
Aeronave:   YANGDA Sky Whale Heavy Lift Long Endurance Electric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A52" authorId="1" shapeId="0">
      <text>
        <t xml:space="preserve">=== CÁLCULO APLICADO ===
formula:   W0 = MTOW - Payload
inputs:
    MTOW:   34
    Payload:   10
</t>
      </text>
    </comment>
    <comment ref="AB52" authorId="1" shapeId="0">
      <text>
        <t xml:space="preserve">
=== CORRELATION DETAILS ===
Aeronave:   YANGDA Sky Whale Heavy Lift Long Endurance Electric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2" authorId="1" shapeId="0">
      <text>
        <t xml:space="preserve">
=== CORRELATION DETAILS ===
Aeronave:   YANGDA Sky Whale Heavy Lift Long Endurance Electric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D52" authorId="1" shapeId="0">
      <text>
        <t xml:space="preserve">
=== CORRELATION DETAILS ===
Aeronave:   YANGDA Sky Whale Heavy Lift Long Endurance Electric VTOL Drone
Parámetro:   Rango de comunicación
Valor imputado:   nan
Confianza:   0
Corr:   0
k:   0
Tipo Modelo:   n/a
Predictores:   
Penalizacion_k:   0
Familia:   F2
Método predictivo:   Correlacion
Advertencia:   ❌ Todos los modelos descartados por LOOCV (MAPE &gt; 12.5% o R2 &lt;= 0.45)
Iteración imputación:   3
</t>
      </text>
    </comment>
    <comment ref="AE52" authorId="1" shapeId="0">
      <text>
        <t xml:space="preserve">
=== CORRELATION DETAILS ===
Aeronave:   YANGDA Sky Whale Heavy Lift Long Endurance Electric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2" authorId="1" shapeId="0">
      <text>
        <t xml:space="preserve">
=== CORRELATION DETAILS ===
Aeronave:   YANGDA Sky Whale Heavy Lift Long Endurance Electric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2" authorId="1" shapeId="0">
      <text>
        <t xml:space="preserve">
=== CORRELATION DETAILS ===
Aeronave:   YANGDA Sky Whale Heavy Lift Long Endurance Electric VTOL Drone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52" authorId="1" shapeId="0">
      <text>
        <t xml:space="preserve">
=== CORRELATION DETAILS ===
Aeronave:   YANGDA Sky Whale Heavy Lift Long Endurance Electric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2" authorId="1" shapeId="0">
      <text>
        <t xml:space="preserve">
=== CORRELATION DETAILS ===
Aeronave:   YANGDA Sky Whale Heavy Lift Long Endurance Electric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2" authorId="1" shapeId="0">
      <text>
        <t xml:space="preserve">
=== CORRELATION DETAILS ===
Aeronave:   YANGDA Sky Whale Heavy Lift Long Endurance Electric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2" authorId="1" shapeId="0">
      <text>
        <t xml:space="preserve">
=== CORRELATION DETAILS ===
Aeronave:   YANGDA Sky Whale Heavy Lift Long Endurance Electric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2" authorId="1" shapeId="0">
      <text>
        <t xml:space="preserve">
=== CORRELATION DETAILS ===
Aeronave:   YANGDA Sky Whale Heavy Lift Long Endurance Electric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3" authorId="1" shapeId="0">
      <text>
        <t xml:space="preserve">
=== CORRELATION DETAILS ===
Aeronave:   YANGDA Sky Whale Max Electric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3" authorId="1" shapeId="0">
      <text>
        <t xml:space="preserve">
=== CORRELATION DETAILS ===
Aeronave:   YANGDA Sky Whale Max Electric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3" authorId="1" shapeId="0">
      <text>
        <t xml:space="preserve">=== CÁLCULO APLICADO ===
formula:   TAS_5000 = IAS / sqrt(σ_5000)
inputs:
    IAS:   25
    σ_5000:   0.862
</t>
      </text>
    </comment>
    <comment ref="G53" authorId="1" shapeId="0">
      <text>
        <t xml:space="preserve">
=== CORRELATION DETAILS ===
Aeronave:   YANGDA Sky Whale Max Electric Heavy Lift Long Endurance VTOL Drone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53" authorId="1" shapeId="0">
      <text>
        <t xml:space="preserve">
=== CORRELATION DETAILS ===
Aeronave:   YANGDA Sky Whale Max Electric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3" authorId="1" shapeId="0">
      <text>
        <t xml:space="preserve">
=== CORRELATION DETAILS ===
Aeronave:   YANGDA Sky Whale Max Electric Heavy Lift Long Endurance VTOL Drone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3" authorId="1" shapeId="0">
      <text>
        <t xml:space="preserve">
=== CORRELATION DETAILS ===
Aeronave:   YANGDA Sky Whale Max Electric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3" authorId="1" shapeId="0">
      <text>
        <t xml:space="preserve">
=== CORRELATION DETAILS ===
Aeronave:   YANGDA Sky Whale Max Electric Heavy Lift Long Endurance VTOL Drone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53" authorId="1" shapeId="0">
      <text>
        <t xml:space="preserve">=== CÁLCULO APLICADO ===
formula:   R[km] = h*3600*V/1000
inputs:
    Autonomía[h]:   4
    Velocidad[m/s]:   25
</t>
      </text>
    </comment>
    <comment ref="P53" authorId="1" shapeId="0">
      <text>
        <t xml:space="preserve">=== IMPUTED VALUE ===
Aeronave:   YANGDA Sky Whale Max Electric Heavy Lift Long Endurance VTOL Drone
Parámetro:   Velocidad de pérdida (m/s CAS)
Valor imputado:   16
Confianza:   0.442
Método predictivo:   Correlacion
Iteración imputación:   1
variable_independiente_1:   16
=== CORRELATION DETAILS ===
Aeronave:   YANGDA Sky Whale Max Electric Heavy Lift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R53" authorId="1" shapeId="0">
      <text>
        <t xml:space="preserve">
=== CORRELATION DETAILS ===
Aeronave:   YANGDA Sky Whale Max Electric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3" authorId="1" shapeId="0">
      <text>
        <t xml:space="preserve">
=== CORRELATION DETAILS ===
Aeronave:   YANGDA Sky Whale Max Electric Heavy Lift Long Endurance VTOL Drone
Parámetro:   Envergadura
Valor imputado:   nan
Confianza:   0
Corr:   0
k:   0
Tipo Modelo:   n/a
Predictores:   
Penalizacion_k:   0
Familia:   F0
Método predictivo:   Correlacion
Advertencia:   ❌ Todos los modelos descartados por LOOCV (MAPE &gt; 12.5% o R2 &lt;= 0.45)
Iteración imputación:   3
</t>
      </text>
    </comment>
    <comment ref="T53" authorId="1" shapeId="0">
      <text>
        <t xml:space="preserve">
=== CORRELATION DETAILS ===
Aeronave:   YANGDA Sky Whale Max Electric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3" authorId="1" shapeId="0">
      <text>
        <t xml:space="preserve">
=== CORRELATION DETAILS ===
Aeronave:   YANGDA Sky Whale Max Electric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3" authorId="1" shapeId="0">
      <text>
        <t xml:space="preserve">
=== CORRELATION DETAILS ===
Aeronave:   YANGDA Sky Whale Max Electric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3" authorId="1" shapeId="0">
      <text>
        <t xml:space="preserve">
=== CORRELATION DETAILS ===
Aeronave:   YANGDA Sky Whale Max Electric Heavy Lift Long Endurance VTOL Drone
Parámetro:   Peso frame
Valor imputado:   nan
Confianza:   0
Corr:   0
k:   0
Tipo Modelo:   n/a
Predictores:   
Penalizacion_k:   0
Familia:   sin filtro
Método predictivo:   Correlacion
Advertencia:   ❌ No se permite imputación sin filtro para esta celda.
Iteración imputación:   3
</t>
      </text>
    </comment>
    <comment ref="AA53" authorId="1" shapeId="0">
      <text>
        <t xml:space="preserve">=== CÁLCULO APLICADO ===
formula:   W0 = MTOW - Payload
inputs:
    MTOW:   68
    Payload:   20
</t>
      </text>
    </comment>
    <comment ref="AB53" authorId="1" shapeId="0">
      <text>
        <t xml:space="preserve">
=== CORRELATION DETAILS ===
Aeronave:   YANGDA Sky Whale Max Electric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3" authorId="1" shapeId="0">
      <text>
        <t xml:space="preserve">
=== CORRELATION DETAILS ===
Aeronave:   YANGDA Sky Whale Max Electric Heavy Lift Long Endurance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D53" authorId="1" shapeId="0">
      <text>
        <t xml:space="preserve">
=== CORRELATION DETAILS ===
Aeronave:   YANGDA Sky Whale Max Electric Heavy Lift Long Endurance VTOL Drone
Parámetro:   Rango de comunicación
Valor imputado:   nan
Confianza:   0
Corr:   0
k:   0
Tipo Modelo:   n/a
Predictores:   
Penalizacion_k:   0
Familia:   F2
Método predictivo:   Correlacion
Advertencia:   ❌ Todos los modelos descartados por LOOCV (MAPE &gt; 12.5% o R2 &lt;= 0.45)
Iteración imputación:   3
</t>
      </text>
    </comment>
    <comment ref="AE53" authorId="1" shapeId="0">
      <text>
        <t xml:space="preserve">
=== CORRELATION DETAILS ===
Aeronave:   YANGDA Sky Whale Max Electric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3" authorId="1" shapeId="0">
      <text>
        <t xml:space="preserve">
=== CORRELATION DETAILS ===
Aeronave:   YANGDA Sky Whale Max Electric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3" authorId="1" shapeId="0">
      <text>
        <t xml:space="preserve">
=== CORRELATION DETAILS ===
Aeronave:   YANGDA Sky Whale Max Electric Heavy Lift Long Endurance VTOL Drone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53" authorId="1" shapeId="0">
      <text>
        <t xml:space="preserve">
=== CORRELATION DETAILS ===
Aeronave:   YANGDA Sky Whale Max Electric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3" authorId="1" shapeId="0">
      <text>
        <t xml:space="preserve">
=== CORRELATION DETAILS ===
Aeronave:   YANGDA Sky Whale Max Electric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3" authorId="1" shapeId="0">
      <text>
        <t xml:space="preserve">
=== CORRELATION DETAILS ===
Aeronave:   YANGDA Sky Whale Max Electric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3" authorId="1" shapeId="0">
      <text>
        <t xml:space="preserve">
=== CORRELATION DETAILS ===
Aeronave:   YANGDA Sky Whale Max Electric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3" authorId="1" shapeId="0">
      <text>
        <t xml:space="preserve">
=== CORRELATION DETAILS ===
Aeronave:   YANGDA Sky Whale Max Electric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4" authorId="1" shapeId="0">
      <text>
        <t xml:space="preserve">
=== CORRELATION DETAILS ===
Aeronave:   YANGDA Sky Whale Max Hybrid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4" authorId="1" shapeId="0">
      <text>
        <t xml:space="preserve">
=== CORRELATION DETAILS ===
Aeronave:   YANGDA Sky Whale Max Hybrid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4" authorId="1" shapeId="0">
      <text>
        <t xml:space="preserve">=== IMPUTED VALUE ===
Aeronave:   YANGDA Sky Whale Max Hybrid Heavy Lift Long Endurance VTOL Drone
Parámetro:   Velocidad a la que se realiza el crucero (m/s TAS)
Valor imputado:   26.9
Confianza:   0.029
Método predictivo:   Similitud
Iteración imputación:   1
variable_independiente_1:   None
=== SIMILARITY DETAILS ===
Aeronave:   YANGDA Sky Whale Max Hybrid Heavy Lift Long Endurance VTOL Drone
Parámetro:   Velocidad a la que se realiza el crucero (m/s TAS)
Valor imputado:   26.9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[26.9]
aeronaves_similares_detalle:
  - Item 1:
        aeronave:   Aerosonde Mk. 4.7 VTOL
        coeficiente_similitud:   0.547
        valor_parametro:   26.9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1
</t>
      </text>
    </comment>
    <comment ref="E54" authorId="1" shapeId="0">
      <text>
        <t xml:space="preserve">=== IMPUTED VALUE ===
Aeronave:   YANGDA Sky Whale Max Hybrid Heavy Lift Long Endurance VTOL Drone
Parámetro:   Techo de servicio máximo
Valor imputado:   9700.000
Confianza:   0.029
Método predictivo:   Similitud
Iteración imputación:   1
variable_independiente_1:   None
=== SIMILARITY DETAILS ===
Aeronave:   YANGDA Sky Whale Max Hybrid Heavy Lift Long Endurance VTOL Drone
Parámetro:   Techo de servicio máximo
Valor imputado:   9700.000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[9700.000]
aeronaves_similares_detalle:
  - Item 1:
        aeronave:   Aerosonde Mk. 4.7 VTOL
        coeficiente_similitud:   0.547
        valor_parametro:   9700.000
        parametros_validos:   6
        familias_cumplidas:   3
        diferencias_promedio:   10.4
        razon_aceptacion:   Cumple las 3 familias
sim_vals: [0.547]
vecinos_predictores:
    Velocidad a la que se realiza el crucero (m/s TAS): [26.9]
    Área del ala: [1.55]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Techo de servicio máximo
Valor imputado:   nan
Confianza:   0
Corr:   0
k:   0
Tipo Modelo:   n/a
Predictores:   
Penalizacion_k:   0
Familia:   sin filtro
Método predictivo:   Correlacion
Advertencia:   ❌ No se permite imputación sin filtro para esta celda.
Iteración imputación:   1
</t>
      </text>
    </comment>
    <comment ref="F54" authorId="1" shapeId="0">
      <text>
        <t xml:space="preserve">
=== CORRELATION DETAILS ===
Aeronave:   YANGDA Sky Whale Max Hybrid Heavy Lift Long Endurance VTOL Drone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4" authorId="1" shapeId="0">
      <text>
        <t xml:space="preserve">=== IMPUTED VALUE ===
Aeronave:   YANGDA Sky Whale Max Hybrid Heavy Lift Long Endurance VTOL Drone
Parámetro:   Área del ala
Valor imputado:   1.55
Confianza:   0.029
Método predictivo:   Similitud
Iteración imputación:   1
variable_independiente_1:   None
=== SIMILARITY DETAILS ===
Aeronave:   YANGDA Sky Whale Max Hybrid Heavy Lift Long Endurance VTOL Drone
Parámetro:   Área del ala
Valor imputado:   1.55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[1.55]
aeronaves_similares_detalle:
  - Item 1:
        aeronave:   Aerosonde Mk. 4.7 VTOL
        coeficiente_similitud:   0.547
        valor_parametro:   1.55
        parametros_validos:   6
        familias_cumplidas:   3
        diferencias_promedio:   10.4
        razon_aceptacion:   Cumple las 3 familias
sim_vals: [0.547]
vecinos_predictores:
    Velocidad a la que se realiza el crucero (m/s TAS): [26.9]
    Techo de servicio máximo: [9700.000]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Área del ala
Valor imputado:   nan
Confianza:   0
Corr:   0
k:   0
Tipo Modelo:   n/a
Predictores:   
Penalizacion_k:   0
Familia:   sin filtro
Método predictivo:   Correlacion
Advertencia:   ❌ No se permite imputación sin filtro para esta celda.
Iteración imputación:   1
</t>
      </text>
    </comment>
    <comment ref="H54" authorId="1" shapeId="0">
      <text>
        <t>=== IMPUTED VALUE ===
Aeronave:   YANGDA Sky Whale Max Hybrid Heavy Lift Long Endurance VTOL Drone
Parámetro:   Relación de aspecto del ala
Valor imputado:   12.5
Confianza:   0.029
Método predictivo:   Similitud
Iteración imputación:   1
variable_independiente_1:   None
=== SIMILARITY DETAILS ===
Aeronave:   YANGDA Sky Whale Max Hybrid Heavy Lift Long Endurance VTOL Drone
Parámetro:   Relación de aspecto del ala
Valor imputado:   12.5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[12.5]
aeronaves_similares_detalle:
  - Item 1:
        aeronave:   Aerosonde Mk. 4.7 VTOL
        coeficiente_similitud:   0.547
        valor_parametro:   12.5
        parametros_validos:   6
        familias_cumplidas:   3
        diferencias_promedio:   10.4
        razon_aceptacion:   Cumple las 3 familias
sim_vals: [0.547]
vecinos_predictores:
    Velocidad a la que se realiza el crucero (m/s TAS): [26.9]
    Techo de servicio máximo: [9700.000]
    Área del ala: [1.55]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1
[Verificación] AR ≈ b / c
[Fórmula] Δrel = |A − B| / max(|A|, |B|, 1e−12) con A=AR, B=b/c
[Normalización] Error relativo simétrico para escalas comparables.
[Sustitución] |12.5 − (4.8/0.352)| / max(|12.5|, |13.6364|, 1e−12)
[Resultado] Δrel=0.0833333 (8.33%); severidad: ajuste</t>
      </text>
    </comment>
    <comment ref="J54" authorId="1" shapeId="0">
      <text>
        <t xml:space="preserve">
=== CORRELATION DETAILS ===
Aeronave:   YANGDA Sky Whale Max Hybrid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4" authorId="1" shapeId="0">
      <text>
        <t xml:space="preserve">=== IMPUTED VALUE ===
Aeronave:   YANGDA Sky Whale Max Hybrid Heavy Lift Long Endurance VTOL Drone
Parámetro:   Ancho del fuselaje
Valor imputado:   0.277
Confianza:   0.029
Método predictivo:   Similitud
Iteración imputación:   1
variable_independiente_1:   None
=== SIMILARITY DETAILS ===
Aeronave:   YANGDA Sky Whale Max Hybrid Heavy Lift Long Endurance VTOL Drone
Parámetro:   Ancho del fuselaje
Valor imputado:   0.277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[0.277]
aeronaves_similares_detalle:
  - Item 1:
        aeronave:   Aerosonde Mk. 4.7 VTOL
        coeficiente_similitud:   0.547
        valor_parametro:   0.277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Potencia HP: [4]
    Potencia Watts: [2980.000]
    Rango de comunicación: [140]
    Misión: [1]
    Despegue: [2]
Iteración imputación:   1
=== CORRELATION DETAILS ===
Aeronave:   YANGDA Sky Whale Max Hybrid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1
</t>
      </text>
    </comment>
    <comment ref="M54" authorId="1" shapeId="0">
      <text>
        <t xml:space="preserve">=== IMPUTED VALUE ===
Aeronave:   YANGDA Sky Whale Max Hybrid Heavy Lift Long Endurance VTOL Drone
Parámetro:   Alcance de la aeronave
Valor imputado:   1080.000
Confianza:   0.029
Método predictivo:   Similitud
Iteración imputación:   1
variable_independiente_1:   None
=== SIMILARITY DETAILS ===
Aeronave:   YANGDA Sky Whale Max Hybrid Heavy Lift Long Endurance VTOL Drone
Parámetro:   Alcance de la aeronave
Valor imputado:   1080.000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[1080.000]
aeronaves_similares_detalle:
  - Item 1:
        aeronave:   Aerosonde Mk. 4.7 VTOL
        coeficiente_similitud:   0.547
        valor_parametro:   1080.000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Alcance de la aeronave
Valor imputado:   nan
Confianza:   0
Corr:   0
k:   0
Tipo Modelo:   n/a
Predictores:   
Penalizacion_k:   0
Familia:   sin filtro
Método predictivo:   Correlacion
Advertencia:   ❌ No se permite imputación sin filtro para esta celda.
Iteración imputación:   1
</t>
      </text>
    </comment>
    <comment ref="O54" authorId="1" shapeId="0">
      <text>
        <t xml:space="preserve">=== IMPUTED VALUE ===
Aeronave:   YANGDA Sky Whale Max Hybrid Heavy Lift Long Endurance VTOL Drone
Parámetro:   Velocidad máxima (m/s IAS)
Valor imputado:   33.4
Confianza:   0.029
Método predictivo:   Similitud
Iteración imputación:   1
variable_independiente_1:   None
=== SIMILARITY DETAILS ===
Aeronave:   YANGDA Sky Whale Max Hybrid Heavy Lift Long Endurance VTOL Drone
Parámetro:   Velocidad máxima (m/s IAS)
Valor imputado:   33.4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[33.4]
aeronaves_similares_detalle:
  - Item 1:
        aeronave:   Aerosonde Mk. 4.7 VTOL
        coeficiente_similitud:   0.547
        valor_parametro:   33.4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Velocidad máxima (m/s IAS)
Valor imputado:   nan
Confianza:   0
Corr:   0
k:   0
Tipo Modelo:   n/a
Predictores:   
Penalizacion_k:   0
Familia:   F2
Método predictivo:   Correlacion
Advertencia:   ❌ Todos los modelos descartados por LOOCV (MAPE &gt; 12.5% o R2 &lt;= 0.45)
Iteración imputación:   1
</t>
      </text>
    </comment>
    <comment ref="P54" authorId="1" shapeId="0">
      <text>
        <t xml:space="preserve">
=== CORRELATION DETAILS ===
Aeronave:   YANGDA Sky Whale Max Hybrid Heavy Lift Long Endurance VTOL Drone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4" authorId="1" shapeId="0">
      <text>
        <t xml:space="preserve">
=== CORRELATION DETAILS ===
Aeronave:   YANGDA Sky Whale Max Hybrid Heavy Lift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4" authorId="1" shapeId="0">
      <text>
        <t xml:space="preserve">
=== CORRELATION DETAILS ===
Aeronave:   YANGDA Sky Whale Max Hybrid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4" authorId="2" shapeId="0">
      <text>
        <t>[Verificación] AR ≈ b / c
[Fórmula] Δrel = |A − B| / max(|A|, |B|, 1e−12) con A=AR, B=b/c
[Normalización] Error relativo simétrico para escalas comparables.
[Sustitución] |12.5 − (4.8/0.352)| / max(|12.5|, |13.6364|, 1e−12)
[Resultado] Δrel=0.0833333 (8.33%); severidad: ajuste</t>
      </text>
    </comment>
    <comment ref="T54" authorId="1" shapeId="0">
      <text>
        <t>=== IMPUTED VALUE ===
Aeronave:   YANGDA Sky Whale Max Hybrid Heavy Lift Long Endurance VTOL Drone
Parámetro:   Cuerda
Valor imputado:   0.352
Confianza:   0.029
Método predictivo:   Similitud
Iteración imputación:   1
variable_independiente_1:   None
=== SIMILARITY DETAILS ===
Aeronave:   YANGDA Sky Whale Max Hybrid Heavy Lift Long Endurance VTOL Drone
Parámetro:   Cuerda
Valor imputado:   0.352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[0.352]
aeronaves_similares_detalle:
  - Item 1:
        aeronave:   Aerosonde Mk. 4.7 VTOL
        coeficiente_similitud:   0.547
        valor_parametro:   0.352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Payload: [11.3]
    Ancho del fuselaje: [0.277]
    Potencia HP: [4]
    Potencia Watts: [2980.000]
    Rango de comunicación: [140]
    Misión: [1]
    Despegue: [2]
Iteración imputación:   1
=== CORRELATION DETAILS ===
Aeronave:   YANGDA Sky Whale Max Hybrid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1
[Verificación] AR ≈ b / c
[Fórmula] Δrel = |A − B| / max(|A|, |B|, 1e−12) con A=AR, B=b/c
[Normalización] Error relativo simétrico para escalas comparables.
[Sustitución] |12.5 − (4.8/0.352)| / max(|12.5|, |13.6364|, 1e−12)
[Resultado] Δrel=0.0833333 (8.33%); severidad: ajuste</t>
      </text>
    </comment>
    <comment ref="U54" authorId="1" shapeId="0">
      <text>
        <t xml:space="preserve">=== IMPUTED VALUE ===
Aeronave:   YANGDA Sky Whale Max Hybrid Heavy Lift Long Endurance VTOL Drone
Parámetro:   Payload
Valor imputado:   11.3
Confianza:   0.029
Método predictivo:   Similitud
Iteración imputación:   1
variable_independiente_1:   None
=== SIMILARITY DETAILS ===
Aeronave:   YANGDA Sky Whale Max Hybrid Heavy Lift Long Endurance VTOL Drone
Parámetro:   Payload
Valor imputado:   11.3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[11.3]
aeronaves_similares_detalle:
  - Item 1:
        aeronave:   Aerosonde Mk. 4.7 VTOL
        coeficiente_similitud:   0.547
        valor_parametro:   11.3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Ancho del fuselaje: [0.277]
    Potencia HP: [4]
    Potencia Watts: [2980.000]
    Rango de comunicación: [140]
    Misión: [1]
    Despegue: [2]
Iteración imputación:   1
=== CORRELATION DETAILS ===
Aeronave:   YANGDA Sky Whale Max Hybrid Heavy Lift Long Endurance VTOL Drone
Parámetro:   Payload
Valor imputado:   nan
Confianza:   0
Corr:   0
k:   0
Tipo Modelo:   n/a
Predictores:   
Penalizacion_k:   0
Familia:   sin filtro
Método predictivo:   Correlacion
Advertencia:   ❌ No se permite imputación sin filtro para esta celda.
Iteración imputación:   1
</t>
      </text>
    </comment>
    <comment ref="V54" authorId="1" shapeId="0">
      <text>
        <t xml:space="preserve">
=== CORRELATION DETAILS ===
Aeronave:   YANGDA Sky Whale Max Hybrid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54" authorId="1" shapeId="0">
      <text>
        <t xml:space="preserve">
=== CORRELATION DETAILS ===
Aeronave:   YANGDA Sky Whale Max Hybrid Heavy Lift Long Endurance VTOL Drone
Parámetro:   Velocidad crucero m/s
Valor imputado:   nan
Confianza:   0
Corr:   0
k:   0
Tipo Modelo:   n/a
Predictores:   
Penalizacion_k:   0
Familia:   F2
Método predictivo:   Correlacion
Advertencia:   ❌ Todos los modelos descartados por LOOCV (MAPE &gt; 12.5% o R2 &lt;= 0.45)
Iteración imputación:   3
</t>
      </text>
    </comment>
    <comment ref="X54" authorId="1" shapeId="0">
      <text>
        <t xml:space="preserve">
=== CORRELATION DETAILS ===
Aeronave:   YANGDA Sky Whale Max Hybrid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4" authorId="1" shapeId="0">
      <text>
        <t xml:space="preserve">
=== CORRELATION DETAILS ===
Aeronave:   YANGDA Sky Whale Max Hybrid Heavy Lift Long Endurance VTOL Drone
Parámetro:   Peso frame
Valor imputado:   nan
Confianza:   0
Corr:   0
k:   0
Tipo Modelo:   n/a
Predictores:   
Penalizacion_k:   0
Familia:   sin filtro
Método predictivo:   Correlacion
Advertencia:   ❌ No se permite imputación sin filtro para esta celda.
Iteración imputación:   3
</t>
      </text>
    </comment>
    <comment ref="AA54" authorId="1" shapeId="0">
      <text>
        <t xml:space="preserve">
=== CORRELATION DETAILS ===
Aeronave:   YANGDA Sky Whale Max Hybrid Heavy Lift Long Endurance VTOL Drone
Parámetro:   Peso Vacio (MTOW - payload)
Valor imputado:   nan
Confianza:   0
Corr:   0
k:   0
Tipo Modelo:   n/a
Predictores:   
Penalizacion_k:   0
Familia:   F2
Método predictivo:   Correlacion
Advertencia:   ❌ Todos los modelos descartados por LOOCV (MAPE &gt; 12.5% o R2 &lt;= 0.45)
Iteración imputación:   3
</t>
      </text>
    </comment>
    <comment ref="AB54" authorId="1" shapeId="0">
      <text>
        <t xml:space="preserve">
=== CORRELATION DETAILS ===
Aeronave:   YANGDA Sky Whale Max Hybrid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4" authorId="1" shapeId="0">
      <text>
        <t xml:space="preserve">
=== CORRELATION DETAILS ===
Aeronave:   YANGDA Sky Whale Max Hybrid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4" authorId="1" shapeId="0">
      <text>
        <t xml:space="preserve">=== IMPUTED VALUE ===
Aeronave:   YANGDA Sky Whale Max Hybrid Heavy Lift Long Endurance VTOL Drone
Parámetro:   Rango de comunicación
Valor imputado:   140
Confianza:   0.029
Método predictivo:   Similitud
Iteración imputación:   1
variable_independiente_1:   None
=== SIMILARITY DETAILS ===
Aeronave:   YANGDA Sky Whale Max Hybrid Heavy Lift Long Endurance VTOL Drone
Parámetro:   Rango de comunicación
Valor imputado:   140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[140]
aeronaves_similares_detalle:
  - Item 1:
        aeronave:   Aerosonde Mk. 4.7 VTOL
        coeficiente_similitud:   0.547
        valor_parametro:   140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Misión: [1]
    Despegue: [2]
Iteración imputación:   1
=== CORRELATION DETAILS ===
Aeronave:   YANGDA Sky Whale Max Hybrid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1
</t>
      </text>
    </comment>
    <comment ref="AE54" authorId="1" shapeId="0">
      <text>
        <t xml:space="preserve">
=== CORRELATION DETAILS ===
Aeronave:   YANGDA Sky Whale Max Hybrid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4" authorId="1" shapeId="0">
      <text>
        <t xml:space="preserve">
=== CORRELATION DETAILS ===
Aeronave:   YANGDA Sky Whale Max Hybrid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4" authorId="1" shapeId="0">
      <text>
        <t xml:space="preserve">
=== CORRELATION DETAILS ===
Aeronave:   YANGDA Sky Whale Max Hybrid Heavy Lift Long Endurance VTOL Drone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54" authorId="1" shapeId="0">
      <text>
        <t xml:space="preserve">
=== CORRELATION DETAILS ===
Aeronave:   YANGDA Sky Whale Max Hybrid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4" authorId="1" shapeId="0">
      <text>
        <t xml:space="preserve">=== IMPUTED VALUE ===
Aeronave:   YANGDA Sky Whale Max Hybrid Heavy Lift Long Endurance VTOL Drone
Parámetro:   Potencia Watts
Valor imputado:   2980.000
Confianza:   0.029
Método predictivo:   Similitud
Iteración imputación:   1
variable_independiente_1:   None
=== SIMILARITY DETAILS ===
Aeronave:   YANGDA Sky Whale Max Hybrid Heavy Lift Long Endurance VTOL Drone
Parámetro:   Potencia Watts
Valor imputado:   2980.000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[2980.000]
aeronaves_similares_detalle:
  - Item 1:
        aeronave:   Aerosonde Mk. 4.7 VTOL
        coeficiente_similitud:   0.547
        valor_parametro:   2980.000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HP: [4]
    Rango de comunicación: [140]
    Misión: [1]
    Despegue: [2]
Iteración imputación:   1
=== CORRELATION DETAILS ===
Aeronave:   YANGDA Sky Whale Max Hybrid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1
</t>
      </text>
    </comment>
    <comment ref="AJ54" authorId="1" shapeId="0">
      <text>
        <t xml:space="preserve">=== IMPUTED VALUE ===
Aeronave:   YANGDA Sky Whale Max Hybrid Heavy Lift Long Endurance VTOL Drone
Parámetro:   Potencia HP
Valor imputado:   4
Confianza:   0.029
Método predictivo:   Similitud
Iteración imputación:   1
variable_independiente_1:   None
=== SIMILARITY DETAILS ===
Aeronave:   YANGDA Sky Whale Max Hybrid Heavy Lift Long Endurance VTOL Drone
Parámetro:   Potencia HP
Valor imputado:   4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[4]
aeronaves_similares_detalle:
  - Item 1:
        aeronave:   Aerosonde Mk. 4.7 VTOL
        coeficiente_similitud:   0.547
        valor_parametro:   4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Watts: [2980.000]
    Rango de comunicación: [140]
    Misión: [1]
    Despegue: [2]
Iteración imputación:   1
=== CORRELATION DETAILS ===
Aeronave:   YANGDA Sky Whale Max Hybrid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1
</t>
      </text>
    </comment>
    <comment ref="AK54" authorId="1" shapeId="0">
      <text>
        <t xml:space="preserve">
=== CORRELATION DETAILS ===
Aeronave:   YANGDA Sky Whale Max Hybrid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4" authorId="1" shapeId="0">
      <text>
        <t xml:space="preserve">
=== CORRELATION DETAILS ===
Aeronave:   YANGDA Sky Whale Max Hybrid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5" authorId="1" shapeId="0">
      <text>
        <t xml:space="preserve">
=== CORRELATION DETAILS ===
Aeronave:   YANGDA Sky Whale Mini Electric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5" authorId="1" shapeId="0">
      <text>
        <t xml:space="preserve">
=== CORRELATION DETAILS ===
Aeronave:   YANGDA Sky Whale Mini Electric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5" authorId="1" shapeId="0">
      <text>
        <t xml:space="preserve">=== CÁLCULO APLICADO ===
formula:   TAS_5000 = IAS / sqrt(σ_5000)
inputs:
    IAS:   27.7
    σ_5000:   0.862
</t>
      </text>
    </comment>
    <comment ref="G55" authorId="1" shapeId="0">
      <text>
        <t xml:space="preserve">
=== CORRELATION DETAILS ===
Aeronave:   YANGDA Sky Whale Mini Electric Long Endurance VTOL Drone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55" authorId="1" shapeId="0">
      <text>
        <t xml:space="preserve">
=== CORRELATION DETAILS ===
Aeronave:   YANGDA Sky Whale Mini Electric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5" authorId="1" shapeId="0">
      <text>
        <t xml:space="preserve">
=== CORRELATION DETAILS ===
Aeronave:   YANGDA Sky Whale Mini Electric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5" authorId="1" shapeId="0">
      <text>
        <t xml:space="preserve">
=== CORRELATION DETAILS ===
Aeronave:   YANGDA Sky Whale Mini Electric Long Endurance VTOL Drone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55" authorId="1" shapeId="0">
      <text>
        <t xml:space="preserve">=== CÁLCULO APLICADO ===
formula:   R[km] = h*3600*V/1000
inputs:
    Autonomía[h]:   3.2
    Velocidad[m/s]:   27.7
</t>
      </text>
    </comment>
    <comment ref="P55" authorId="1" shapeId="0">
      <text>
        <t xml:space="preserve">=== IMPUTED VALUE ===
Aeronave:   YANGDA Sky Whale Mini Electric Long Endurance VTOL Drone
Parámetro:   Velocidad de pérdida (m/s CAS)
Valor imputado:   16
Confianza:   0.442
Método predictivo:   Correlacion
Iteración imputación:   1
variable_independiente_1:   16
=== CORRELATION DETAILS ===
Aeronave:   YANGDA Sky Whale Mini Electric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Q55" authorId="1" shapeId="0">
      <text>
        <t xml:space="preserve">
=== CORRELATION DETAILS ===
Aeronave:   YANGDA Sky Whale Mini Electric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5" authorId="1" shapeId="0">
      <text>
        <t xml:space="preserve">
=== CORRELATION DETAILS ===
Aeronave:   YANGDA Sky Whale Mini Electric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5" authorId="1" shapeId="0">
      <text>
        <t xml:space="preserve">
=== CORRELATION DETAILS ===
Aeronave:   YANGDA Sky Whale Mini Electric Long Endurance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5" authorId="1" shapeId="0">
      <text>
        <t xml:space="preserve">
=== CORRELATION DETAILS ===
Aeronave:   YANGDA Sky Whale Mini Electric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Y55" authorId="1" shapeId="0">
      <text>
        <t xml:space="preserve">
=== CORRELATION DETAILS ===
Aeronave:   YANGDA Sky Whale Mini Electric Long Endurance VTOL Drone
Parámetro:   Peso frame
Valor imputado:   nan
Confianza:   0
Corr:   0
k:   0
Tipo Modelo:   n/a
Predictores:   
Penalizacion_k:   0
Familia:   sin filtro
Método predictivo:   Correlacion
Advertencia:   ❌ No se permite imputación sin filtro para esta celda.
Iteración imputación:   3
</t>
      </text>
    </comment>
    <comment ref="AA55" authorId="1" shapeId="0">
      <text>
        <t xml:space="preserve">=== CÁLCULO APLICADO ===
formula:   W0 = MTOW - Payload
inputs:
    MTOW:   18.5
    Payload:   8.5
</t>
      </text>
    </comment>
    <comment ref="AB55" authorId="1" shapeId="0">
      <text>
        <t xml:space="preserve">
=== CORRELATION DETAILS ===
Aeronave:   YANGDA Sky Whale Mini Electric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5" authorId="1" shapeId="0">
      <text>
        <t xml:space="preserve">
=== CORRELATION DETAILS ===
Aeronave:   YANGDA Sky Whale Mini Electric Long Endurance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text>
    </comment>
    <comment ref="AD55" authorId="1" shapeId="0">
      <text>
        <t xml:space="preserve">
=== CORRELATION DETAILS ===
Aeronave:   YANGDA Sky Whale Mini Electric Long Endurance VTOL Drone
Parámetro:   Rango de comunicación
Valor imputado:   nan
Confianza:   0
Corr:   0
k:   0
Tipo Modelo:   n/a
Predictores:   
Penalizacion_k:   0
Familia:   F2
Método predictivo:   Correlacion
Advertencia:   ❌ Todos los modelos descartados por LOOCV (MAPE &gt; 12.5% o R2 &lt;= 0.45)
Iteración imputación:   3
</t>
      </text>
    </comment>
    <comment ref="AE55" authorId="1" shapeId="0">
      <text>
        <t xml:space="preserve">
=== CORRELATION DETAILS ===
Aeronave:   YANGDA Sky Whale Mini Electric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5" authorId="1" shapeId="0">
      <text>
        <t xml:space="preserve">
=== CORRELATION DETAILS ===
Aeronave:   YANGDA Sky Whale Mini Electric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5" authorId="1" shapeId="0">
      <text>
        <t xml:space="preserve">
=== CORRELATION DETAILS ===
Aeronave:   YANGDA Sky Whale Mini Electric Long Endurance VTOL Drone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55" authorId="1" shapeId="0">
      <text>
        <t xml:space="preserve">
=== CORRELATION DETAILS ===
Aeronave:   YANGDA Sky Whale Mini Electric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5" authorId="1" shapeId="0">
      <text>
        <t xml:space="preserve">
=== CORRELATION DETAILS ===
Aeronave:   YANGDA Sky Whale Mini Electric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5" authorId="1" shapeId="0">
      <text>
        <t xml:space="preserve">
=== CORRELATION DETAILS ===
Aeronave:   YANGDA Sky Whale Mini Electric Long Endurance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5" authorId="1" shapeId="0">
      <text>
        <t xml:space="preserve">
=== CORRELATION DETAILS ===
Aeronave:   YANGDA Sky Whale Mini Electric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5" authorId="1" shapeId="0">
      <text>
        <t xml:space="preserve">
=== CORRELATION DETAILS ===
Aeronave:   YANGDA Sky Whale Mini Electric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6" authorId="1" shapeId="0">
      <text>
        <t xml:space="preserve">
=== CORRELATION DETAILS ===
Aeronave:   DOOSAN DJ25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6" authorId="1" shapeId="0">
      <text>
        <t xml:space="preserve">
=== CORRELATION DETAILS ===
Aeronave:   DOOSAN DJ25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6" authorId="1" shapeId="0">
      <text>
        <t xml:space="preserve">=== CÁLCULO APLICADO ===
formula:   TAS_5000 = IAS / sqrt(σ_5000)
inputs:
    IAS:   22
    σ_5000:   0.862
</t>
      </text>
    </comment>
    <comment ref="F56" authorId="1" shapeId="0">
      <text>
        <t xml:space="preserve">
=== CORRELATION DETAILS ===
Aeronave:   DOOSAN DJ25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6" authorId="1" shapeId="0">
      <text>
        <t xml:space="preserve">
=== CORRELATION DETAILS ===
Aeronave:   DOOSAN DJ25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6" authorId="1" shapeId="0">
      <text>
        <t xml:space="preserve">
=== CORRELATION DETAILS ===
Aeronave:   DOOSAN DJ25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6" authorId="1" shapeId="0">
      <text>
        <t xml:space="preserve">
=== CORRELATION DETAILS ===
Aeronave:   DOOSAN DJ25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6" authorId="1" shapeId="0">
      <text>
        <t xml:space="preserve">
=== CORRELATION DETAILS ===
Aeronave:   DOOSAN DJ25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56" authorId="2" shapeId="0">
      <text>
        <t>[Verificación] R ≈ (h · 3600 · IAS) / 1000
[Fórmula] Δrel = |A − B| / max(|A|, |B|, 1e−12) con A=R, B=(h·3600·V)/1000
[Normalización] Escala el error a porcentaje relativo de la magnitud observada.
[Sustitución] |500 − (5.5·3600·22)/1000| / max(|500|, |435.6|, 1e−12)
[Resultado] Δrel=0.1288 (12.88%); severidad: no_confiable</t>
      </text>
    </comment>
    <comment ref="N56" authorId="2" shapeId="0">
      <text>
        <t>[Verificación] R ≈ (h · 3600 · IAS) / 1000
[Fórmula] Δrel = |A − B| / max(|A|, |B|, 1e−12) con A=R, B=(h·3600·V)/1000
[Normalización] Escala el error a porcentaje relativo de la magnitud observada.
[Sustitución] |500 − (5.5·3600·22)/1000| / max(|500|, |435.6|, 1e−12)
[Resultado] Δrel=0.1288 (12.88%); severidad: no_confiable</t>
      </text>
    </comment>
    <comment ref="O56" authorId="1" shapeId="0">
      <text>
        <t xml:space="preserve">
=== CORRELATION DETAILS ===
Aeronave:   DOOSAN DJ25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6" authorId="1" shapeId="0">
      <text>
        <t xml:space="preserve">
=== CORRELATION DETAILS ===
Aeronave:   DOOSAN DJ25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6" authorId="1" shapeId="0">
      <text>
        <t xml:space="preserve">
=== CORRELATION DETAILS ===
Aeronave:   DOOSAN DJ25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6" authorId="1" shapeId="0">
      <text>
        <t xml:space="preserve">
=== CORRELATION DETAILS ===
Aeronave:   DOOSAN DJ25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6" authorId="1" shapeId="0">
      <text>
        <t xml:space="preserve">
=== CORRELATION DETAILS ===
Aeronave:   DOOSAN DJ25
Parámetro:   Cuerda
Valor imputado:   nan
Confianza:   0
Corr:   0
k:   0
Tipo Modelo:   n/a
Predictores:   
Penalizacion_k:   0
Familia:   sin filtro
Método predictivo:   Correlacion
Advertencia:   ❌ No se permite imputación sin filtro para esta celda.
Iteración imputación:   3
</t>
      </text>
    </comment>
    <comment ref="V56" authorId="1" shapeId="0">
      <text>
        <t xml:space="preserve">
=== CORRELATION DETAILS ===
Aeronave:   DOOSAN DJ25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56" authorId="2" shapeId="0">
      <text>
        <t>[Verificación] R ≈ (h · 3600 · IAS) / 1000
[Fórmula] Δrel = |A − B| / max(|A|, |B|, 1e−12) con A=R, B=(h·3600·V)/1000
[Normalización] Escala el error a porcentaje relativo de la magnitud observada.
[Sustitución] |500 − (5.5·3600·22)/1000| / max(|500|, |435.6|, 1e−12)
[Resultado] Δrel=0.1288 (12.88%); severidad: no_confiable</t>
      </text>
    </comment>
    <comment ref="X56" authorId="1" shapeId="0">
      <text>
        <t xml:space="preserve">
=== CORRELATION DETAILS ===
Aeronave:   DOOSAN DJ25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6" authorId="1" shapeId="0">
      <text>
        <t xml:space="preserve">
=== CORRELATION DETAILS ===
Aeronave:   DOOSAN DJ25
Parámetro:   Peso frame
Valor imputado:   nan
Confianza:   0
Corr:   0
k:   0
Tipo Modelo:   n/a
Predictores:   
Penalizacion_k:   0
Familia:   sin filtro
Método predictivo:   Correlacion
Advertencia:   ❌ No se permite imputación sin filtro para esta celda.
Iteración imputación:   3
</t>
      </text>
    </comment>
    <comment ref="Z56" authorId="1" shapeId="0">
      <text>
        <t xml:space="preserve">
=== CORRELATION DETAILS ===
Aeronave:   DOOSAN DJ25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6" authorId="1" shapeId="0">
      <text>
        <t xml:space="preserve">=== CÁLCULO APLICADO ===
formula:   W0 = MTOW - Payload
inputs:
    MTOW:   31
    Payload:   4
</t>
      </text>
    </comment>
    <comment ref="AE56" authorId="1" shapeId="0">
      <text>
        <t xml:space="preserve">
=== CORRELATION DETAILS ===
Aeronave:   DOOSAN DJ25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6" authorId="1" shapeId="0">
      <text>
        <t xml:space="preserve">
=== CORRELATION DETAILS ===
Aeronave:   DOOSAN DJ25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6" authorId="1" shapeId="0">
      <text>
        <t xml:space="preserve">
=== CORRELATION DETAILS ===
Aeronave:   DOOSAN DJ25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56" authorId="1" shapeId="0">
      <text>
        <t xml:space="preserve">
=== CORRELATION DETAILS ===
Aeronave:   DOOSAN DJ25
Parámetro:   Consumo
Valor imputado:   nan
Confianza:   0
Corr:   0
k:   0
Tipo Modelo:   n/a
Predictores:   
Penalizacion_k:   0
Familia:   sin filtro
Método predictivo:   Correlacion
Advertencia:   ❌ No se permite imputación sin filtro para esta celda.
Iteración imputación:   3
</t>
      </text>
    </comment>
    <comment ref="AI56" authorId="1" shapeId="0">
      <text>
        <t xml:space="preserve">
=== CORRELATION DETAILS ===
Aeronave:   DOOSAN DJ25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6" authorId="1" shapeId="0">
      <text>
        <t xml:space="preserve">
=== CORRELATION DETAILS ===
Aeronave:   DOOSAN DJ25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6" authorId="1" shapeId="0">
      <text>
        <t xml:space="preserve">
=== CORRELATION DETAILS ===
Aeronave:   DOOSAN DJ25
Parámetro:   Precio
Valor imputado:   nan
Confianza:   0
Corr:   0
k:   0
Tipo Modelo:   n/a
Predictores:   
Penalizacion_k:   0
Familia:   sin filtro
Método predictivo:   Correlacion
Advertencia:   ❌ No se permite imputación sin filtro para esta celda.
Iteración imputación:   3
</t>
      </text>
    </comment>
    <comment ref="AL56" authorId="1" shapeId="0">
      <text>
        <t xml:space="preserve">
=== CORRELATION DETAILS ===
Aeronave:   DOOSAN DJ25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7" authorId="1" shapeId="0">
      <text>
        <t xml:space="preserve">
=== CORRELATION DETAILS ===
Aeronave:   WingtraOne GEN II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57" authorId="1" shapeId="0">
      <text>
        <t xml:space="preserve">=== CÁLCULO APLICADO ===
formula:   TAS_5000 = IAS / sqrt(σ_5000)
inputs:
    IAS:   18
    σ_5000:   0.862
</t>
      </text>
    </comment>
    <comment ref="E57" authorId="1" shapeId="0">
      <text>
        <t xml:space="preserve">
=== CORRELATION DETAILS ===
Aeronave:   WingtraOne GEN II
Parámetro:   Techo de servicio máximo
Valor imputado:   nan
Confianza:   0
Corr:   0
k:   0
Tipo Modelo:   n/a
Predictores:   
Penalizacion_k:   0
Familia:   F2
Método predictivo:   Correlacion
Advertencia:   ❌ Todos los modelos descartados por LOOCV (MAPE &gt; 12.5% o R2 &lt;= 0.45)
Iteración imputación:   3
</t>
      </text>
    </comment>
    <comment ref="F57" authorId="1" shapeId="0">
      <text>
        <t xml:space="preserve">
=== CORRELATION DETAILS ===
Aeronave:   WingtraOne GEN II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7" authorId="1" shapeId="0">
      <text>
        <t xml:space="preserve">
=== CORRELATION DETAILS ===
Aeronave:   WingtraOne GEN II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7" authorId="1" shapeId="0">
      <text>
        <t xml:space="preserve">
=== CORRELATION DETAILS ===
Aeronave:   WingtraOne GEN II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7" authorId="1" shapeId="0">
      <text>
        <t xml:space="preserve">
=== CORRELATION DETAILS ===
Aeronave:   WingtraOne GEN II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57" authorId="1" shapeId="0">
      <text>
        <t xml:space="preserve">=== CÁLCULO APLICADO ===
formula:   R[km] = h*3600*V/1000
inputs:
    Autonomía[h]:   1
    Velocidad[m/s]:   18
</t>
      </text>
    </comment>
    <comment ref="O57" authorId="1" shapeId="0">
      <text>
        <t xml:space="preserve">
=== CORRELATION DETAILS ===
Aeronave:   WingtraOne GEN II
Parámetro:   Velocidad máxima (m/s IAS)
Valor imputado:   nan
Confianza:   0
Corr:   0
k:   0
Tipo Modelo:   n/a
Predictores:   
Penalizacion_k:   0
Familia:   F2
Método predictivo:   Correlacion
Advertencia:   ❌ Todos los modelos descartados por LOOCV (MAPE &gt; 12.5% o R2 &lt;= 0.45)
Iteración imputación:   3
</t>
      </text>
    </comment>
    <comment ref="P57" authorId="1" shapeId="0">
      <text>
        <t xml:space="preserve">
=== CORRELATION DETAILS ===
Aeronave:   WingtraOne GEN II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7" authorId="1" shapeId="0">
      <text>
        <t xml:space="preserve">
=== CORRELATION DETAILS ===
Aeronave:   WingtraOne GEN II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7" authorId="1" shapeId="0">
      <text>
        <t xml:space="preserve">
=== CORRELATION DETAILS ===
Aeronave:   WingtraOne GEN II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7" authorId="1" shapeId="0">
      <text>
        <t xml:space="preserve">
=== CORRELATION DETAILS ===
Aeronave:   WingtraOne GEN II
Parámetro:   Envergadura
Valor imputado:   nan
Confianza:   0
Corr:   0
k:   0
Tipo Modelo:   n/a
Predictores:   
Penalizacion_k:   0
Familia:   sin filtro
Método predictivo:   Correlacion
Advertencia:   ❌ No se permite imputación sin filtro para esta celda.
Iteración imputación:   3
</t>
      </text>
    </comment>
    <comment ref="T57" authorId="1" shapeId="0">
      <text>
        <t xml:space="preserve">
=== CORRELATION DETAILS ===
Aeronave:   WingtraOne GEN II
Parámetro:   Cuerda
Valor imputado:   nan
Confianza:   0
Corr:   0
k:   0
Tipo Modelo:   n/a
Predictores:   
Penalizacion_k:   0
Familia:   sin filtro
Método predictivo:   Correlacion
Advertencia:   ❌ No se permite imputación sin filtro para esta celda.
Iteración imputación:   3
</t>
      </text>
    </comment>
    <comment ref="V57" authorId="1" shapeId="0">
      <text>
        <t xml:space="preserve">
=== CORRELATION DETAILS ===
Aeronave:   WingtraOne GEN II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7" authorId="1" shapeId="0">
      <text>
        <t xml:space="preserve">
=== CORRELATION DETAILS ===
Aeronave:   WingtraOne GEN II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7" authorId="1" shapeId="0">
      <text>
        <t xml:space="preserve">
=== CORRELATION DETAILS ===
Aeronave:   WingtraOne GEN II
Parámetro:   Peso frame
Valor imputado:   nan
Confianza:   0
Corr:   0
k:   0
Tipo Modelo:   n/a
Predictores:   
Penalizacion_k:   0
Familia:   sin filtro
Método predictivo:   Correlacion
Advertencia:   ❌ No se permite imputación sin filtro para esta celda.
Iteración imputación:   3
</t>
      </text>
    </comment>
    <comment ref="AE57" authorId="1" shapeId="0">
      <text>
        <t xml:space="preserve">
=== CORRELATION DETAILS ===
Aeronave:   WingtraOne GEN II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7" authorId="1" shapeId="0">
      <text>
        <t xml:space="preserve">
=== CORRELATION DETAILS ===
Aeronave:   WingtraOne GEN II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7" authorId="1" shapeId="0">
      <text>
        <t xml:space="preserve">
=== CORRELATION DETAILS ===
Aeronave:   WingtraOne GEN II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7" authorId="1" shapeId="0">
      <text>
        <t xml:space="preserve">
=== CORRELATION DETAILS ===
Aeronave:   WingtraOne GEN II
Parámetro:   Consumo
Valor imputado:   nan
Confianza:   0
Corr:   0
k:   0
Tipo Modelo:   n/a
Predictores:   
Penalizacion_k:   0
Familia:   sin filtro
Método predictivo:   Correlacion
Advertencia:   ❌ No se permite imputación sin filtro para esta celda.
Iteración imputación:   3
</t>
      </text>
    </comment>
    <comment ref="AI57" authorId="1" shapeId="0">
      <text>
        <t xml:space="preserve">
=== CORRELATION DETAILS ===
Aeronave:   WingtraOne GEN II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7" authorId="1" shapeId="0">
      <text>
        <t xml:space="preserve">
=== CORRELATION DETAILS ===
Aeronave:   WingtraOne GEN II
Parámetro:   Potencia HP
Valor imputado:   nan
Confianza:   0
Corr:   0
k:   0
Tipo Modelo:   n/a
Predictores:   
Penalizacion_k:   0
Familia:   sin filtro
Método predictivo:   Correlacion
Advertencia:   ❌ No se permite imputación sin filtro para esta celda.
Iteración imputación:   3
</t>
      </text>
    </comment>
    <comment ref="AL57" authorId="1" shapeId="0">
      <text>
        <t xml:space="preserve">
=== CORRELATION DETAILS ===
Aeronave:   WingtraOne GEN II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8" authorId="1" shapeId="0">
      <text>
        <t xml:space="preserve">
=== CORRELATION DETAILS ===
Aeronave:   Trinity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8" authorId="1" shapeId="0">
      <text>
        <t xml:space="preserve">
=== CORRELATION DETAILS ===
Aeronave:   Trinity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8" authorId="1" shapeId="0">
      <text>
        <t xml:space="preserve">=== CÁLCULO APLICADO ===
formula:   TAS_5000 = IAS / sqrt(σ_5000)
inputs:
    IAS:   17
    σ_5000:   0.862
</t>
      </text>
    </comment>
    <comment ref="F58" authorId="1" shapeId="0">
      <text>
        <t xml:space="preserve">=== IMPUTED VALUE ===
Aeronave:   Trinity Pro
Parámetro:   Velocidad de pérdida limpia (m/s CAS)
Valor imputado:   13.9
Confianza:   0.331
Método predictivo:   Correlacion
Iteración imputación:   1
variable_independiente_1:   17
=== CORRELATION DETAILS ===
Aeronave:   Trinity Pro
Parámetro:   Velocidad de pérdida limpia (m/s CAS)
Valor imputado:   13.9
Confianza:   0.331
Tipo Modelo:   poly-1
Predictores:   Velocidad crucero m/s
Coeficientes: [1.62, -0.032]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0.931
MAPE:   1.22
R2:   0.943
Confianza_LOOCV:   0.281
k_LOOCV:   6
Corr_LOOCV:   0.79
MAPE_LOOCV:   2.66
R2_LOOCV:   0.758
Método predictivo:   Correlacion
Advertencia:   🟢 Modelo robusto
Familia:   F1
Iteración imputación:   1
variable_independiente_1:   17
</t>
      </text>
    </comment>
    <comment ref="G58" authorId="1" shapeId="0">
      <text>
        <t xml:space="preserve">
=== CORRELATION DETAILS ===
Aeronave:   Trinity Pro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8" authorId="1" shapeId="0">
      <text>
        <t xml:space="preserve">
=== CORRELATION DETAILS ===
Aeronave:   Trinity Pro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8" authorId="1" shapeId="0">
      <text>
        <t xml:space="preserve">=== IMPUTED VALUE ===
Aeronave:   Trinity Pro
Parámetro:   Longitud del fuselaje
Valor imputado:   1.48
Confianza:   0.0445
Método predictivo:   Similitud
Iteración imputación:   1
variable_independiente_1:   None
=== SIMILARITY DETAILS ===
Aeronave:   Trinity Pro
Parámetro:   Longitud del fuselaje
Valor imputado:   1.48
Confianza:   0.0445
Vecinos entrenamiento: [Trinity F90+]
k:   1
Penalizacion_k:   0.0757
Confianza Similitud:   0.84
Confianza Datos:   0.053
Confianza CV:   0
CV:   1
Dispersión:   0
Advertencia:   k&lt;3, confianza_baja, alta_variabilidad
Método predictivo:   Similitud
Familia:   Filtrado directo
coeficientes_similitud: [0.84]
valores_vecinos: [1.48]
aeronaves_similares_detalle:
  - Item 1:
        aeronave:   Trinity F90+
        coeficiente_similitud:   0.84
        valor_parametro:   1.48
        parametros_validos:   9
        familias_cumplidas:   3
        diferencias_promedio:   4.29
        razon_aceptacion:   Cumple las 3 familias
sim_vals: [0.84]
vecinos_predictores:
    Velocidad a la que se realiza el crucero (m/s TAS): [18.3]
    Techo de servicio máximo: [15000.000]
    Peso máximo al despegue (MTOW): [5]
    Alcance de la aeronave: [100]
    Autonomía de la aeronave: [1.5]
    Envergadura: [2.39]
    Payload: [0.7]
    Rango de comunicación: [7.5]
    Misión: [1]
    Despegue: [2]
Iteración imputación:   1
=== CORRELATION DETAILS ===
Aeronave:   Trinity Pro
Parámetro:   Longitud del fuselaje
Valor imputado:   nan
Confianza:   0
Corr:   0
k:   0
Tipo Modelo:   n/a
Predictores:   
Penalizacion_k:   0
Familia:   sin filtro
Método predictivo:   Correlacion
Advertencia:   ❌ No se permite imputación sin filtro para esta celda.
Iteración imputación:   1
</t>
      </text>
    </comment>
    <comment ref="J58" authorId="1" shapeId="0">
      <text>
        <t xml:space="preserve">
=== CORRELATION DETAILS ===
Aeronave:   Trinity Pro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8" authorId="1" shapeId="0">
      <text>
        <t xml:space="preserve">
=== CORRELATION DETAILS ===
Aeronave:   Trinity Pro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58" authorId="1" shapeId="0">
      <text>
        <t xml:space="preserve">=== CÁLCULO APLICADO ===
formula:   R[km] = h*3600*V/1000
inputs:
    Autonomía[h]:   1.5
    Velocidad[m/s]:   17
</t>
      </text>
    </comment>
    <comment ref="O58" authorId="1" shapeId="0">
      <text>
        <t xml:space="preserve">
=== CORRELATION DETAILS ===
Aeronave:   Trinity Pro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8" authorId="1" shapeId="0">
      <text>
        <t xml:space="preserve">=== IMPUTED VALUE ===
Aeronave:   Trinity Pro
Parámetro:   Velocidad de pérdida (m/s CAS)
Valor imputado:   13.9
Confianza:   0.946
Método predictivo:   Correlacion
Iteración imputación:   2
variable_independiente_1:   13.9
=== CORRELATION DETAILS ===
Aeronave:   Trinity Pro
Parámetro:   Velocidad de pérdida (m/s CAS)
Valor imputado:   13.9
Confianza:   0.946
Tipo Modelo:   linear-1
Predictores:   Velocidad de pérdida limpia (m/s CAS)
Coeficientes: [1]
Peso de predictores: [1]
Aeronaves entrenamiento: [V21, V25, V32, Skyeye 2600, Skyeye 2930 VTOL, Skyeye 3600 VTOL, Skyeye 5000 VTOL octo, Volitation VT510, Ascend, Transition, Reach, YANGDA Sky Whale Heavy Lift Long Endurance Electric VTOL Drone, YANGDA Sky Whale Max Electric Heavy Lift Long Endurance VTOL Drone, YANGDA Sky Whale Mini Electric Long Endurance VTOL Drone, Raybe (BETA UAS)]
k:   15
Penalizacion_k:   0.946
Corr:   1
MAPE:   0.000
R2:   1
Confianza_LOOCV:   0.946
k_LOOCV:   15
Corr_LOOCV:   1
MAPE_LOOCV:   0.000
R2_LOOCV:   1
Método predictivo:   Correlacion
Advertencia:   🟢 Modelo robusto
Familia:   F2
Iteración imputación:   2
variable_independiente_1:   13.9
</t>
      </text>
    </comment>
    <comment ref="Q58" authorId="1" shapeId="0">
      <text>
        <t xml:space="preserve">
=== CORRELATION DETAILS ===
Aeronave:   Trinity Pro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8" authorId="1" shapeId="0">
      <text>
        <t xml:space="preserve">
=== CORRELATION DETAILS ===
Aeronave:   Trinity Pro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8" authorId="1" shapeId="0">
      <text>
        <t xml:space="preserve">
=== CORRELATION DETAILS ===
Aeronave:   Trinity Pro
Parámetro:   Cuerda
Valor imputado:   nan
Confianza:   0
Corr:   0
k:   0
Tipo Modelo:   n/a
Predictores:   
Penalizacion_k:   0
Familia:   sin filtro
Método predictivo:   Correlacion
Advertencia:   ❌ No se permite imputación sin filtro para esta celda.
Iteración imputación:   3
</t>
      </text>
    </comment>
    <comment ref="U58" authorId="1" shapeId="0">
      <text>
        <t xml:space="preserve">=== IMPUTED VALUE ===
Aeronave:   Trinity Pro
Parámetro:   Payload
Valor imputado:   0.7
Confianza:   0.0445
Método predictivo:   Similitud
Iteración imputación:   1
variable_independiente_1:   None
=== SIMILARITY DETAILS ===
Aeronave:   Trinity Pro
Parámetro:   Payload
Valor imputado:   0.7
Confianza:   0.0445
Vecinos entrenamiento: [Trinity F90+]
k:   1
Penalizacion_k:   0.0757
Confianza Similitud:   0.84
Confianza Datos:   0.053
Confianza CV:   0
CV:   1
Dispersión:   0
Advertencia:   k&lt;3, confianza_baja, alta_variabilidad
Método predictivo:   Similitud
Familia:   Filtrado directo
coeficientes_similitud: [0.84]
valores_vecinos: [0.7]
aeronaves_similares_detalle:
  - Item 1:
        aeronave:   Trinity F90+
        coeficiente_similitud:   0.84
        valor_parametro:   0.7
        parametros_validos:   9
        familias_cumplidas:   3
        diferencias_promedio:   4.29
        razon_aceptacion:   Cumple las 3 familias
sim_vals: [0.84]
vecinos_predictores:
    Velocidad a la que se realiza el crucero (m/s TAS): [18.3]
    Techo de servicio máximo: [15000.000]
    Longitud del fuselaje: [1.48]
    Peso máximo al despegue (MTOW): [5]
    Alcance de la aeronave: [100]
    Autonomía de la aeronave: [1.5]
    Envergadura: [2.39]
    Rango de comunicación: [7.5]
    Misión: [1]
    Despegue: [2]
Iteración imputación:   1
=== CORRELATION DETAILS ===
Aeronave:   Trinity Pro
Parámetro:   Payload
Valor imputado:   nan
Confianza:   0
Corr:   0
k:   0
Tipo Modelo:   n/a
Predictores:   
Penalizacion_k:   0
Familia:   sin filtro
Método predictivo:   Correlacion
Advertencia:   ❌ No se permite imputación sin filtro para esta celda.
Iteración imputación:   1
</t>
      </text>
    </comment>
    <comment ref="V58" authorId="1" shapeId="0">
      <text>
        <t xml:space="preserve">
=== CORRELATION DETAILS ===
Aeronave:   Trinity Pro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8" authorId="1" shapeId="0">
      <text>
        <t xml:space="preserve">
=== CORRELATION DETAILS ===
Aeronave:   Trinity Pro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8" authorId="1" shapeId="0">
      <text>
        <t xml:space="preserve">
=== CORRELATION DETAILS ===
Aeronave:   Trinity Pro
Parámetro:   Peso frame
Valor imputado:   nan
Confianza:   0
Corr:   0
k:   0
Tipo Modelo:   n/a
Predictores:   
Penalizacion_k:   0
Familia:   sin filtro
Método predictivo:   Correlacion
Advertencia:   ❌ No se permite imputación sin filtro para esta celda.
Iteración imputación:   3
</t>
      </text>
    </comment>
    <comment ref="Z58" authorId="1" shapeId="0">
      <text>
        <t xml:space="preserve">
=== CORRELATION DETAILS ===
Aeronave:   Trinity Pro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8" authorId="1" shapeId="0">
      <text>
        <t xml:space="preserve">
=== CORRELATION DETAILS ===
Aeronave:   Trinity Pro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8" authorId="1" shapeId="0">
      <text>
        <t xml:space="preserve">
=== CORRELATION DETAILS ===
Aeronave:   Trinity Pro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8" authorId="1" shapeId="0">
      <text>
        <t xml:space="preserve">
=== CORRELATION DETAILS ===
Aeronave:   Trinity Pro
Parámetro:   Maximum Crosswind (sostenido)
Valor imputado:   nan
Confianza:   0
Corr:   0
k:   0
Tipo Modelo:   n/a
Predictores:   
Penalizacion_k:   0
Familia:   F2
Método predictivo:   Correlacion
Advertencia:   ❌ Todos los modelos descartados por LOOCV (MAPE &gt; 12.5% o R2 &lt;= 0.45)
Iteración imputación:   3
</t>
      </text>
    </comment>
    <comment ref="AE58" authorId="1" shapeId="0">
      <text>
        <t xml:space="preserve">
=== CORRELATION DETAILS ===
Aeronave:   Trinity Pro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8" authorId="1" shapeId="0">
      <text>
        <t xml:space="preserve">
=== CORRELATION DETAILS ===
Aeronave:   Trinity Pro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8" authorId="1" shapeId="0">
      <text>
        <t xml:space="preserve">
=== CORRELATION DETAILS ===
Aeronave:   Trinity Pro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8" authorId="1" shapeId="0">
      <text>
        <t xml:space="preserve">
=== CORRELATION DETAILS ===
Aeronave:   Trinity Pro
Parámetro:   Consumo
Valor imputado:   nan
Confianza:   0
Corr:   0
k:   0
Tipo Modelo:   n/a
Predictores:   
Penalizacion_k:   0
Familia:   sin filtro
Método predictivo:   Correlacion
Advertencia:   ❌ No se permite imputación sin filtro para esta celda.
Iteración imputación:   3
</t>
      </text>
    </comment>
    <comment ref="AI58" authorId="1" shapeId="0">
      <text>
        <t xml:space="preserve">
=== CORRELATION DETAILS ===
Aeronave:   Trinity Pro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8" authorId="1" shapeId="0">
      <text>
        <t xml:space="preserve">
=== CORRELATION DETAILS ===
Aeronave:   Trinity Pro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8" authorId="1" shapeId="0">
      <text>
        <t xml:space="preserve">
=== CORRELATION DETAILS ===
Aeronave:   Trinity Pro
Parámetro:   Precio
Valor imputado:   nan
Confianza:   0
Corr:   0
k:   0
Tipo Modelo:   n/a
Predictores:   
Penalizacion_k:   0
Familia:   sin filtro
Método predictivo:   Correlacion
Advertencia:   ❌ No se permite imputación sin filtro para esta celda.
Iteración imputación:   3
</t>
      </text>
    </comment>
    <comment ref="AL58" authorId="1" shapeId="0">
      <text>
        <t xml:space="preserve">
=== CORRELATION DETAILS ===
Aeronave:   Trinity Pro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9" authorId="1" shapeId="0">
      <text>
        <t xml:space="preserve">
=== CORRELATION DETAILS ===
Aeronave:   Trinity F90+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9" authorId="1" shapeId="0">
      <text>
        <t xml:space="preserve">
=== CORRELATION DETAILS ===
Aeronave:   Trinity F90+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9" authorId="1" shapeId="0">
      <text>
        <t xml:space="preserve">=== CÁLCULO APLICADO ===
formula:   TAS_5000 = IAS / sqrt(σ_5000)
inputs:
    IAS:   17
    σ_5000:   0.862
</t>
      </text>
    </comment>
    <comment ref="F59" authorId="1" shapeId="0">
      <text>
        <t xml:space="preserve">=== IMPUTED VALUE ===
Aeronave:   Trinity F90+
Parámetro:   Velocidad de pérdida limpia (m/s CAS)
Valor imputado:   13.9
Confianza:   0.331
Método predictivo:   Correlacion
Iteración imputación:   1
variable_independiente_1:   17
=== CORRELATION DETAILS ===
Aeronave:   Trinity F90+
Parámetro:   Velocidad de pérdida limpia (m/s CAS)
Valor imputado:   13.9
Confianza:   0.331
Tipo Modelo:   poly-1
Predictores:   Velocidad crucero m/s
Coeficientes: [1.62, -0.032]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0.931
MAPE:   1.22
R2:   0.943
Confianza_LOOCV:   0.281
k_LOOCV:   6
Corr_LOOCV:   0.79
MAPE_LOOCV:   2.66
R2_LOOCV:   0.758
Método predictivo:   Correlacion
Advertencia:   🟢 Modelo robusto
Familia:   F1
Iteración imputación:   1
variable_independiente_1:   17
</t>
      </text>
    </comment>
    <comment ref="G59" authorId="1" shapeId="0">
      <text>
        <t xml:space="preserve">
=== CORRELATION DETAILS ===
Aeronave:   Trinity F90+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9" authorId="1" shapeId="0">
      <text>
        <t xml:space="preserve">
=== CORRELATION DETAILS ===
Aeronave:   Trinity F90+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9" authorId="1" shapeId="0">
      <text>
        <t xml:space="preserve">
=== CORRELATION DETAILS ===
Aeronave:   Trinity F90+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9" authorId="1" shapeId="0">
      <text>
        <t xml:space="preserve">
=== CORRELATION DETAILS ===
Aeronave:   Trinity F90+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59" authorId="2" shapeId="0">
      <text>
        <t>[Verificación] R ≈ (h · 3600 · IAS) / 1000
[Fórmula] Δrel = |A − B| / max(|A|, |B|, 1e−12) con A=R, B=(h·3600·V)/1000
[Normalización] Escala el error a porcentaje relativo de la magnitud observada.
[Sustitución] |100 − (1.5·3600·17)/1000| / max(|100|, |91.8|, 1e−12)
[Resultado] Δrel=0.082 (8.20%); severidad: ajuste</t>
      </text>
    </comment>
    <comment ref="N59" authorId="2" shapeId="0">
      <text>
        <t>[Verificación] R ≈ (h · 3600 · IAS) / 1000
[Fórmula] Δrel = |A − B| / max(|A|, |B|, 1e−12) con A=R, B=(h·3600·V)/1000
[Normalización] Escala el error a porcentaje relativo de la magnitud observada.
[Sustitución] |100 − (1.5·3600·17)/1000| / max(|100|, |91.8|, 1e−12)
[Resultado] Δrel=0.082 (8.20%); severidad: ajuste</t>
      </text>
    </comment>
    <comment ref="O59" authorId="1" shapeId="0">
      <text>
        <t xml:space="preserve">
=== CORRELATION DETAILS ===
Aeronave:   Trinity F90+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9" authorId="1" shapeId="0">
      <text>
        <t xml:space="preserve">=== IMPUTED VALUE ===
Aeronave:   Trinity F90+
Parámetro:   Velocidad de pérdida (m/s CAS)
Valor imputado:   13.9
Confianza:   0.946
Método predictivo:   Correlacion
Iteración imputación:   2
variable_independiente_1:   13.9
=== CORRELATION DETAILS ===
Aeronave:   Trinity F90+
Parámetro:   Velocidad de pérdida (m/s CAS)
Valor imputado:   13.9
Confianza:   0.946
Tipo Modelo:   linear-1
Predictores:   Velocidad de pérdida limpia (m/s CAS)
Coeficientes: [1]
Peso de predictores: [1]
Aeronaves entrenamiento: [V21, V25, V32, Skyeye 2600, Skyeye 2930 VTOL, Skyeye 3600 VTOL, Skyeye 5000 VTOL octo, Volitation VT510, Ascend, Transition, Reach, YANGDA Sky Whale Heavy Lift Long Endurance Electric VTOL Drone, YANGDA Sky Whale Max Electric Heavy Lift Long Endurance VTOL Drone, YANGDA Sky Whale Mini Electric Long Endurance VTOL Drone, Raybe (BETA UAS)]
k:   15
Penalizacion_k:   0.946
Corr:   1
MAPE:   0.000
R2:   1
Confianza_LOOCV:   0.946
k_LOOCV:   15
Corr_LOOCV:   1
MAPE_LOOCV:   0.000
R2_LOOCV:   1
Método predictivo:   Correlacion
Advertencia:   🟢 Modelo robusto
Familia:   F2
Iteración imputación:   2
variable_independiente_1:   13.9
</t>
      </text>
    </comment>
    <comment ref="Q59" authorId="1" shapeId="0">
      <text>
        <t xml:space="preserve">
=== CORRELATION DETAILS ===
Aeronave:   Trinity F90+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9" authorId="1" shapeId="0">
      <text>
        <t xml:space="preserve">
=== CORRELATION DETAILS ===
Aeronave:   Trinity F90+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9" authorId="1" shapeId="0">
      <text>
        <t xml:space="preserve">
=== CORRELATION DETAILS ===
Aeronave:   Trinity F90+
Parámetro:   Cuerda
Valor imputado:   nan
Confianza:   0
Corr:   0
k:   0
Tipo Modelo:   n/a
Predictores:   
Penalizacion_k:   0
Familia:   sin filtro
Método predictivo:   Correlacion
Advertencia:   ❌ No se permite imputación sin filtro para esta celda.
Iteración imputación:   3
</t>
      </text>
    </comment>
    <comment ref="V59" authorId="1" shapeId="0">
      <text>
        <t xml:space="preserve">
=== CORRELATION DETAILS ===
Aeronave:   Trinity F90+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59" authorId="2" shapeId="0">
      <text>
        <t>[Verificación] R ≈ (h · 3600 · IAS) / 1000
[Fórmula] Δrel = |A − B| / max(|A|, |B|, 1e−12) con A=R, B=(h·3600·V)/1000
[Normalización] Escala el error a porcentaje relativo de la magnitud observada.
[Sustitución] |100 − (1.5·3600·17)/1000| / max(|100|, |91.8|, 1e−12)
[Resultado] Δrel=0.082 (8.20%); severidad: ajuste</t>
      </text>
    </comment>
    <comment ref="X59" authorId="1" shapeId="0">
      <text>
        <t xml:space="preserve">
=== CORRELATION DETAILS ===
Aeronave:   Trinity F90+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9" authorId="1" shapeId="0">
      <text>
        <t xml:space="preserve">
=== CORRELATION DETAILS ===
Aeronave:   Trinity F90+
Parámetro:   Peso frame
Valor imputado:   nan
Confianza:   0
Corr:   0
k:   0
Tipo Modelo:   n/a
Predictores:   
Penalizacion_k:   0
Familia:   sin filtro
Método predictivo:   Correlacion
Advertencia:   ❌ No se permite imputación sin filtro para esta celda.
Iteración imputación:   3
</t>
      </text>
    </comment>
    <comment ref="Z59" authorId="1" shapeId="0">
      <text>
        <t xml:space="preserve">
=== CORRELATION DETAILS ===
Aeronave:   Trinity F90+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9" authorId="1" shapeId="0">
      <text>
        <t xml:space="preserve">=== CÁLCULO APLICADO ===
formula:   W0 = MTOW - Payload
inputs:
    MTOW:   5
    Payload:   0.7
</t>
      </text>
    </comment>
    <comment ref="AB59" authorId="1" shapeId="0">
      <text>
        <t xml:space="preserve">
=== CORRELATION DETAILS ===
Aeronave:   Trinity F90+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9" authorId="1" shapeId="0">
      <text>
        <t xml:space="preserve">
=== CORRELATION DETAILS ===
Aeronave:   Trinity F90+
Parámetro:   Maximum Crosswind (sostenido)
Valor imputado:   nan
Confianza:   0
Corr:   0
k:   0
Tipo Modelo:   n/a
Predictores:   
Penalizacion_k:   0
Familia:   F2
Método predictivo:   Correlacion
Advertencia:   ❌ Todos los modelos descartados por LOOCV (MAPE &gt; 12.5% o R2 &lt;= 0.45)
Iteración imputación:   3
</t>
      </text>
    </comment>
    <comment ref="AE59" authorId="1" shapeId="0">
      <text>
        <t xml:space="preserve">
=== CORRELATION DETAILS ===
Aeronave:   Trinity F90+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9" authorId="1" shapeId="0">
      <text>
        <t xml:space="preserve">
=== CORRELATION DETAILS ===
Aeronave:   Trinity F90+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9" authorId="1" shapeId="0">
      <text>
        <t xml:space="preserve">
=== CORRELATION DETAILS ===
Aeronave:   Trinity F90+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9" authorId="1" shapeId="0">
      <text>
        <t xml:space="preserve">
=== CORRELATION DETAILS ===
Aeronave:   Trinity F90+
Parámetro:   Consumo
Valor imputado:   nan
Confianza:   0
Corr:   0
k:   0
Tipo Modelo:   n/a
Predictores:   
Penalizacion_k:   0
Familia:   sin filtro
Método predictivo:   Correlacion
Advertencia:   ❌ No se permite imputación sin filtro para esta celda.
Iteración imputación:   3
</t>
      </text>
    </comment>
    <comment ref="AI59" authorId="1" shapeId="0">
      <text>
        <t xml:space="preserve">
=== CORRELATION DETAILS ===
Aeronave:   Trinity F90+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9" authorId="1" shapeId="0">
      <text>
        <t xml:space="preserve">
=== CORRELATION DETAILS ===
Aeronave:   Trinity F90+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9" authorId="1" shapeId="0">
      <text>
        <t xml:space="preserve">
=== CORRELATION DETAILS ===
Aeronave:   Trinity F90+
Parámetro:   Precio
Valor imputado:   nan
Confianza:   0
Corr:   0
k:   0
Tipo Modelo:   n/a
Predictores:   
Penalizacion_k:   0
Familia:   sin filtro
Método predictivo:   Correlacion
Advertencia:   ❌ No se permite imputación sin filtro para esta celda.
Iteración imputación:   3
</t>
      </text>
    </comment>
    <comment ref="AL59" authorId="1" shapeId="0">
      <text>
        <t xml:space="preserve">
=== CORRELATION DETAILS ===
Aeronave:   Trinity F90+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0" authorId="1" shapeId="0">
      <text>
        <t xml:space="preserve">
=== CORRELATION DETAILS ===
Aeronave:   Vector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0" authorId="1" shapeId="0">
      <text>
        <t xml:space="preserve">
=== CORRELATION DETAILS ===
Aeronave:   Vector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0" authorId="1" shapeId="0">
      <text>
        <t xml:space="preserve">=== CÁLCULO APLICADO ===
formula:   TAS_5000 = IAS / sqrt(σ_5000)
inputs:
    IAS:   20
    σ_5000:   0.862
</t>
      </text>
    </comment>
    <comment ref="F60" authorId="1" shapeId="0">
      <text>
        <t xml:space="preserve">=== IMPUTED VALUE ===
Aeronave:   Vector
Parámetro:   Velocidad de pérdida limpia (m/s CAS)
Valor imputado:   15.2
Confianza:   0.331
Método predictivo:   Correlacion
Iteración imputación:   1
variable_independiente_1:   20
=== CORRELATION DETAILS ===
Aeronave:   Vector
Parámetro:   Velocidad de pérdida limpia (m/s CAS)
Valor imputado:   15.2
Confianza:   0.331
Tipo Modelo:   poly-1
Predictores:   Velocidad crucero m/s
Coeficientes: [1.62, -0.032]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0.931
MAPE:   1.22
R2:   0.943
Confianza_LOOCV:   0.281
k_LOOCV:   6
Corr_LOOCV:   0.79
MAPE_LOOCV:   2.66
R2_LOOCV:   0.758
Método predictivo:   Correlacion
Advertencia:   🟢 Modelo robusto
Familia:   F1
Iteración imputación:   1
variable_independiente_1:   20
</t>
      </text>
    </comment>
    <comment ref="G60" authorId="1" shapeId="0">
      <text>
        <t xml:space="preserve">
=== CORRELATION DETAILS ===
Aeronave:   Vector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0" authorId="1" shapeId="0">
      <text>
        <t xml:space="preserve">
=== CORRELATION DETAILS ===
Aeronave:   Vector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0" authorId="1" shapeId="0">
      <text>
        <t xml:space="preserve">
=== CORRELATION DETAILS ===
Aeronave:   Vector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0" authorId="1" shapeId="0">
      <text>
        <t xml:space="preserve">
=== CORRELATION DETAILS ===
Aeronave:   Vector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60" authorId="1" shapeId="0">
      <text>
        <t xml:space="preserve">=== CÁLCULO APLICADO ===
formula:   R[km] = h*3600*V/1000
inputs:
    Autonomía[h]:   3
    Velocidad[m/s]:   20
</t>
      </text>
    </comment>
    <comment ref="O60" authorId="1" shapeId="0">
      <text>
        <t xml:space="preserve">
=== CORRELATION DETAILS ===
Aeronave:   Vector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60" authorId="1" shapeId="0">
      <text>
        <t xml:space="preserve">=== IMPUTED VALUE ===
Aeronave:   Vector
Parámetro:   Velocidad de pérdida (m/s CAS)
Valor imputado:   15.2
Confianza:   0.355
Método predictivo:   Correlacion
Iteración imputación:   2
variable_independiente_1:   15.2
=== CORRELATION DETAILS ===
Aeronave:   Vector
Parámetro:   Velocidad de pérdida (m/s CAS)
Valor imputado:   15.2
Confianza:   0.355
Tipo Modelo:   linear-1
Predictores:   Velocidad de pérdida limpia (m/s CAS)
Coeficientes: [1]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Familia:   F1
Iteración imputación:   2
variable_independiente_1:   15.2
</t>
      </text>
    </comment>
    <comment ref="Q60" authorId="1" shapeId="0">
      <text>
        <t xml:space="preserve">
=== CORRELATION DETAILS ===
Aeronave:   Vector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0" authorId="1" shapeId="0">
      <text>
        <t xml:space="preserve">
=== CORRELATION DETAILS ===
Aeronave:   Vector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0" authorId="1" shapeId="0">
      <text>
        <t xml:space="preserve">
=== CORRELATION DETAILS ===
Aeronave:   Vector
Parámetro:   Cuerda
Valor imputado:   nan
Confianza:   0
Corr:   0
k:   0
Tipo Modelo:   n/a
Predictores:   
Penalizacion_k:   0
Familia:   sin filtro
Método predictivo:   Correlacion
Advertencia:   ❌ No se permite imputación sin filtro para esta celda.
Iteración imputación:   3
</t>
      </text>
    </comment>
    <comment ref="U60" authorId="1" shapeId="0">
      <text>
        <t xml:space="preserve">
=== CORRELATION DETAILS ===
Aeronave:   Vector
Parámetro:   Payload
Valor imputado:   nan
Confianza:   0
Corr:   0
k:   0
Tipo Modelo:   n/a
Predictores:   
Penalizacion_k:   0
Familia:   sin filtro
Método predictivo:   Correlacion
Advertencia:   ❌ No se permite imputación sin filtro para esta celda.
Iteración imputación:   3
</t>
      </text>
    </comment>
    <comment ref="V60" authorId="1" shapeId="0">
      <text>
        <t xml:space="preserve">
=== CORRELATION DETAILS ===
Aeronave:   Vector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0" authorId="1" shapeId="0">
      <text>
        <t xml:space="preserve">
=== CORRELATION DETAILS ===
Aeronave:   Vector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0" authorId="1" shapeId="0">
      <text>
        <t xml:space="preserve">
=== CORRELATION DETAILS ===
Aeronave:   Vector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60" authorId="1" shapeId="0">
      <text>
        <t xml:space="preserve">
=== CORRELATION DETAILS ===
Aeronave:   Vector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60" authorId="1" shapeId="0">
      <text>
        <t xml:space="preserve">
=== CORRELATION DETAILS ===
Aeronave:   Vector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60" authorId="1" shapeId="0">
      <text>
        <t xml:space="preserve">
=== CORRELATION DETAILS ===
Aeronave:   Vector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0" authorId="1" shapeId="0">
      <text>
        <t xml:space="preserve">
=== CORRELATION DETAILS ===
Aeronave:   Vector
Parámetro:   Maximum Crosswind (sostenido)
Valor imputado:   nan
Confianza:   0
Corr:   0
k:   0
Tipo Modelo:   n/a
Predictores:   
Penalizacion_k:   0
Familia:   F2
Método predictivo:   Correlacion
Advertencia:   ❌ Todos los modelos descartados por LOOCV (MAPE &gt; 12.5% o R2 &lt;= 0.45)
Iteración imputación:   3
</t>
      </text>
    </comment>
    <comment ref="AE60" authorId="1" shapeId="0">
      <text>
        <t xml:space="preserve">
=== CORRELATION DETAILS ===
Aeronave:   Vector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0" authorId="1" shapeId="0">
      <text>
        <t xml:space="preserve">
=== CORRELATION DETAILS ===
Aeronave:   Vector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0" authorId="1" shapeId="0">
      <text>
        <t xml:space="preserve">
=== CORRELATION DETAILS ===
Aeronave:   Vector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0" authorId="1" shapeId="0">
      <text>
        <t xml:space="preserve">
=== CORRELATION DETAILS ===
Aeronave:   Vector
Parámetro:   Consumo
Valor imputado:   nan
Confianza:   0
Corr:   0
k:   0
Tipo Modelo:   n/a
Predictores:   
Penalizacion_k:   0
Familia:   sin filtro
Método predictivo:   Correlacion
Advertencia:   ❌ No se permite imputación sin filtro para esta celda.
Iteración imputación:   3
</t>
      </text>
    </comment>
    <comment ref="AI60" authorId="1" shapeId="0">
      <text>
        <t xml:space="preserve">
=== CORRELATION DETAILS ===
Aeronave:   Vector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0" authorId="1" shapeId="0">
      <text>
        <t xml:space="preserve">
=== CORRELATION DETAILS ===
Aeronave:   Vector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0" authorId="1" shapeId="0">
      <text>
        <t xml:space="preserve">
=== CORRELATION DETAILS ===
Aeronave:   Vector
Parámetro:   Precio
Valor imputado:   nan
Confianza:   0
Corr:   0
k:   0
Tipo Modelo:   n/a
Predictores:   
Penalizacion_k:   0
Familia:   sin filtro
Método predictivo:   Correlacion
Advertencia:   ❌ No se permite imputación sin filtro para esta celda.
Iteración imputación:   3
</t>
      </text>
    </comment>
    <comment ref="AL60" authorId="1" shapeId="0">
      <text>
        <t xml:space="preserve">
=== CORRELATION DETAILS ===
Aeronave:   Vector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1" authorId="1" shapeId="0">
      <text>
        <t xml:space="preserve">
=== CORRELATION DETAILS ===
Aeronave:   T-Drones VA32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1" authorId="1" shapeId="0">
      <text>
        <t xml:space="preserve">
=== CORRELATION DETAILS ===
Aeronave:   T-Drones VA32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1" authorId="1" shapeId="0">
      <text>
        <t xml:space="preserve">=== CÁLCULO APLICADO ===
formula:   TAS_5000 = IAS / sqrt(σ_5000)
inputs:
    IAS:   22
    σ_5000:   0.862
</t>
      </text>
    </comment>
    <comment ref="F61" authorId="1" shapeId="0">
      <text>
        <t xml:space="preserve">=== IMPUTED VALUE ===
Aeronave:   T-Drones VA32
Parámetro:   Velocidad de pérdida limpia (m/s CAS)
Valor imputado:   15.8
Confianza:   0.333
Método predictivo:   Correlacion
Iteración imputación:   2
variable_independiente_1:   22
=== CORRELATION DETAILS ===
Aeronave:   T-Drones VA32
Parámetro:   Velocidad de pérdida limpia (m/s CAS)
Valor imputado:   15.8
Confianza:   0.333
Tipo Modelo:   poly-1
Predictores:   Velocidad crucero m/s
Coeficientes: [1.75, -0.0346]
Peso de predictores: [1]
Aeronaves entrenamiento: [V21, V25, JOUAV CW-007, YANGDA Sky Whale Heavy Lift Long Endurance Electric VTOL Drone, YANGDA Sky Whale Max Electric Heavy Lift Long Endurance VTOL Drone, YANGDA Sky Whale Mini Electric Long Endurance VTOL Drone]
k:   6
Penalizacion_k:   0.355
Corr:   0.938
MAPE:   1.16
R2:   0.953
Confianza_LOOCV:   0.283
k_LOOCV:   6
Corr_LOOCV:   0.795
MAPE_LOOCV:   2.62
R2_LOOCV:   0.765
Método predictivo:   Correlacion
Advertencia:   🟢 Modelo robusto
Familia:   F0
Iteración imputación:   2
variable_independiente_1:   22
</t>
      </text>
    </comment>
    <comment ref="G61" authorId="1" shapeId="0">
      <text>
        <t xml:space="preserve">
=== CORRELATION DETAILS ===
Aeronave:   T-Drones VA32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1" authorId="1" shapeId="0">
      <text>
        <t xml:space="preserve">
=== CORRELATION DETAILS ===
Aeronave:   T-Drones VA32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1" authorId="1" shapeId="0">
      <text>
        <t xml:space="preserve">
=== CORRELATION DETAILS ===
Aeronave:   T-Drones VA32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1" authorId="1" shapeId="0">
      <text>
        <t xml:space="preserve">
=== CORRELATION DETAILS ===
Aeronave:   T-Drones VA32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61" authorId="2" shapeId="0">
      <text>
        <t>[Verificación] R ≈ (h · 3600 · IAS) / 1000
[Fórmula] Δrel = |A − B| / max(|A|, |B|, 1e−12) con A=R, B=(h·3600·V)/1000
[Normalización] Escala el error a porcentaje relativo de la magnitud observada.
[Sustitución] |300 − (4·3600·22)/1000| / max(|300|, |316.8|, 1e−12)
[Resultado] Δrel=0.0530303 (5.30%); severidad: ajuste</t>
      </text>
    </comment>
    <comment ref="N61" authorId="2" shapeId="0">
      <text>
        <t>[Verificación] R ≈ (h · 3600 · IAS) / 1000
[Fórmula] Δrel = |A − B| / max(|A|, |B|, 1e−12) con A=R, B=(h·3600·V)/1000
[Normalización] Escala el error a porcentaje relativo de la magnitud observada.
[Sustitución] |300 − (4·3600·22)/1000| / max(|300|, |316.8|, 1e−12)
[Resultado] Δrel=0.0530303 (5.30%); severidad: ajuste</t>
      </text>
    </comment>
    <comment ref="O61" authorId="1" shapeId="0">
      <text>
        <t xml:space="preserve">=== IMPUTED VALUE ===
Aeronave:   T-Drones VA32
Parámetro:   Velocidad máxima (m/s IAS)
Valor imputado:   33
Confianza:   0.348
Método predictivo:   Correlacion
Iteración imputación:   1
variable_independiente_1:   300
=== CORRELATION DETAILS ===
Aeronave:   T-Drones VA32
Parámetro:   Velocidad máxima (m/s IAS)
Valor imputado:   33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300
</t>
      </text>
    </comment>
    <comment ref="Q61" authorId="1" shapeId="0">
      <text>
        <t xml:space="preserve">
=== CORRELATION DETAILS ===
Aeronave:   T-Drones VA32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1" authorId="1" shapeId="0">
      <text>
        <t xml:space="preserve">
=== CORRELATION DETAILS ===
Aeronave:   T-Drones VA32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1" authorId="1" shapeId="0">
      <text>
        <t xml:space="preserve">
=== CORRELATION DETAILS ===
Aeronave:   T-Drones VA32
Parámetro:   Cuerda
Valor imputado:   nan
Confianza:   0
Corr:   0
k:   0
Tipo Modelo:   n/a
Predictores:   
Penalizacion_k:   0
Familia:   sin filtro
Método predictivo:   Correlacion
Advertencia:   ❌ No se permite imputación sin filtro para esta celda.
Iteración imputación:   3
</t>
      </text>
    </comment>
    <comment ref="V61" authorId="1" shapeId="0">
      <text>
        <t xml:space="preserve">
=== CORRELATION DETAILS ===
Aeronave:   T-Drones VA32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1" authorId="2" shapeId="0">
      <text>
        <t>[Verificación] R ≈ (h · 3600 · IAS) / 1000
[Fórmula] Δrel = |A − B| / max(|A|, |B|, 1e−12) con A=R, B=(h·3600·V)/1000
[Normalización] Escala el error a porcentaje relativo de la magnitud observada.
[Sustitución] |300 − (4·3600·22)/1000| / max(|300|, |316.8|, 1e−12)
[Resultado] Δrel=0.0530303 (5.30%); severidad: ajuste</t>
      </text>
    </comment>
    <comment ref="X61" authorId="1" shapeId="0">
      <text>
        <t xml:space="preserve">
=== CORRELATION DETAILS ===
Aeronave:   T-Drones VA32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1" authorId="1" shapeId="0">
      <text>
        <t xml:space="preserve">
=== CORRELATION DETAILS ===
Aeronave:   T-Drones VA32
Parámetro:   Peso frame
Valor imputado:   nan
Confianza:   0
Corr:   0
k:   0
Tipo Modelo:   n/a
Predictores:   
Penalizacion_k:   0
Familia:   sin filtro
Método predictivo:   Correlacion
Advertencia:   ❌ No se permite imputación sin filtro para esta celda.
Iteración imputación:   3
</t>
      </text>
    </comment>
    <comment ref="Z61" authorId="1" shapeId="0">
      <text>
        <t xml:space="preserve">
=== CORRELATION DETAILS ===
Aeronave:   T-Drones VA32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61" authorId="1" shapeId="0">
      <text>
        <t xml:space="preserve">=== CÁLCULO APLICADO ===
formula:   W0 = MTOW - Payload
inputs:
    MTOW:   25
    Payload:   5
</t>
      </text>
    </comment>
    <comment ref="AB61" authorId="1" shapeId="0">
      <text>
        <t xml:space="preserve">
=== CORRELATION DETAILS ===
Aeronave:   T-Drones VA32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1" authorId="1" shapeId="0">
      <text>
        <t xml:space="preserve">
=== CORRELATION DETAILS ===
Aeronave:   T-Drones VA32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1" authorId="1" shapeId="0">
      <text>
        <t xml:space="preserve">
=== CORRELATION DETAILS ===
Aeronave:   T-Drones VA32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1" authorId="1" shapeId="0">
      <text>
        <t xml:space="preserve">
=== CORRELATION DETAILS ===
Aeronave:   T-Drones VA32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61" authorId="1" shapeId="0">
      <text>
        <t xml:space="preserve">
=== CORRELATION DETAILS ===
Aeronave:   T-Drones VA32
Parámetro:   Consumo
Valor imputado:   nan
Confianza:   0
Corr:   0
k:   0
Tipo Modelo:   n/a
Predictores:   
Penalizacion_k:   0
Familia:   sin filtro
Método predictivo:   Correlacion
Advertencia:   ❌ No se permite imputación sin filtro para esta celda.
Iteración imputación:   3
</t>
      </text>
    </comment>
    <comment ref="AI61" authorId="1" shapeId="0">
      <text>
        <t xml:space="preserve">
=== CORRELATION DETAILS ===
Aeronave:   T-Drones VA32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1" authorId="1" shapeId="0">
      <text>
        <t xml:space="preserve">
=== CORRELATION DETAILS ===
Aeronave:   T-Drones VA32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1" authorId="1" shapeId="0">
      <text>
        <t xml:space="preserve">
=== CORRELATION DETAILS ===
Aeronave:   T-Drones VA32
Parámetro:   Precio
Valor imputado:   nan
Confianza:   0
Corr:   0
k:   0
Tipo Modelo:   n/a
Predictores:   
Penalizacion_k:   0
Familia:   sin filtro
Método predictivo:   Correlacion
Advertencia:   ❌ No se permite imputación sin filtro para esta celda.
Iteración imputación:   3
</t>
      </text>
    </comment>
    <comment ref="B62" authorId="1" shapeId="0">
      <text>
        <t xml:space="preserve">
=== CORRELATION DETAILS ===
Aeronave:   Avy Aera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2" authorId="1" shapeId="0">
      <text>
        <t xml:space="preserve">
=== CORRELATION DETAILS ===
Aeronave:   Avy Aera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2" authorId="1" shapeId="0">
      <text>
        <t xml:space="preserve">=== CÁLCULO APLICADO ===
formula:   TAS_5000 = IAS / sqrt(σ_5000)
inputs:
    IAS:   25
    σ_5000:   0.862
</t>
      </text>
    </comment>
    <comment ref="E62" authorId="1" shapeId="0">
      <text>
        <t xml:space="preserve">
=== CORRELATION DETAILS ===
Aeronave:   Avy Aera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2" authorId="1" shapeId="0">
      <text>
        <t xml:space="preserve">=== IMPUTED VALUE ===
Aeronave:   Avy Aera
Parámetro:   Velocidad de pérdida limpia (m/s CAS)
Valor imputado:   16.1
Confianza:   0.333
Método predictivo:   Correlacion
Iteración imputación:   2
variable_independiente_1:   25
=== CORRELATION DETAILS ===
Aeronave:   Avy Aera
Parámetro:   Velocidad de pérdida limpia (m/s CAS)
Valor imputado:   16.1
Confianza:   0.333
Tipo Modelo:   poly-1
Predictores:   Velocidad crucero m/s
Coeficientes: [1.75, -0.0346]
Peso de predictores: [1]
Aeronaves entrenamiento: [V21, V25, JOUAV CW-007, YANGDA Sky Whale Heavy Lift Long Endurance Electric VTOL Drone, YANGDA Sky Whale Max Electric Heavy Lift Long Endurance VTOL Drone, YANGDA Sky Whale Mini Electric Long Endurance VTOL Drone]
k:   6
Penalizacion_k:   0.355
Corr:   0.938
MAPE:   1.16
R2:   0.953
Confianza_LOOCV:   0.283
k_LOOCV:   6
Corr_LOOCV:   0.795
MAPE_LOOCV:   2.62
R2_LOOCV:   0.765
Método predictivo:   Correlacion
Advertencia:   🟢 Modelo robusto
Familia:   F0
Iteración imputación:   2
variable_independiente_1:   25
</t>
      </text>
    </comment>
    <comment ref="G62" authorId="1" shapeId="0">
      <text>
        <t xml:space="preserve">
=== CORRELATION DETAILS ===
Aeronave:   Avy Aera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2" authorId="1" shapeId="0">
      <text>
        <t xml:space="preserve">
=== CORRELATION DETAILS ===
Aeronave:   Avy Aera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2" authorId="1" shapeId="0">
      <text>
        <t xml:space="preserve">
=== CORRELATION DETAILS ===
Aeronave:   Avy Aera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2" authorId="1" shapeId="0">
      <text>
        <t xml:space="preserve">
=== CORRELATION DETAILS ===
Aeronave:   Avy Aera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62" authorId="2" shapeId="0">
      <text>
        <t>[Verificación] R ≈ (h · 3600 · IAS) / 1000
[Fórmula] Δrel = |A − B| / max(|A|, |B|, 1e−12) con A=R, B=(h·3600·V)/1000
[Normalización] Escala el error a porcentaje relativo de la magnitud observada.
[Sustitución] |100 − (1.25·3600·25)/1000| / max(|100|, |112.5|, 1e−12)
[Resultado] Δrel=0.111111 (11.11%); severidad: no_confiable</t>
      </text>
    </comment>
    <comment ref="N62" authorId="2" shapeId="0">
      <text>
        <t>[Verificación] R ≈ (h · 3600 · IAS) / 1000
[Fórmula] Δrel = |A − B| / max(|A|, |B|, 1e−12) con A=R, B=(h·3600·V)/1000
[Normalización] Escala el error a porcentaje relativo de la magnitud observada.
[Sustitución] |100 − (1.25·3600·25)/1000| / max(|100|, |112.5|, 1e−12)
[Resultado] Δrel=0.111111 (11.11%); severidad: no_confiable</t>
      </text>
    </comment>
    <comment ref="P62" authorId="1" shapeId="0">
      <text>
        <t xml:space="preserve">
=== CORRELATION DETAILS ===
Aeronave:   Avy Aera
Parámetro:   Velocidad de pérdida (m/s CAS)
Valor imputado:   nan
Confianza:   0
Corr:   0
k:   0
Tipo Modelo:   n/a
Predictores:   
Penalizacion_k:   0
Familia:   F0
Método predictivo:   Correlacion
Advertencia:   ❌ Todos los modelos descartados por LOOCV (MAPE &gt; 12.5% o R2 &lt;= 0.45)
Iteración imputación:   3
</t>
      </text>
    </comment>
    <comment ref="Q62" authorId="1" shapeId="0">
      <text>
        <t xml:space="preserve">
=== CORRELATION DETAILS ===
Aeronave:   Avy Aera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2" authorId="1" shapeId="0">
      <text>
        <t xml:space="preserve">
=== CORRELATION DETAILS ===
Aeronave:   Avy Aera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2" authorId="1" shapeId="0">
      <text>
        <t xml:space="preserve">
=== CORRELATION DETAILS ===
Aeronave:   Avy Aera
Parámetro:   Cuerda
Valor imputado:   nan
Confianza:   0
Corr:   0
k:   0
Tipo Modelo:   n/a
Predictores:   
Penalizacion_k:   0
Familia:   sin filtro
Método predictivo:   Correlacion
Advertencia:   ❌ No se permite imputación sin filtro para esta celda.
Iteración imputación:   3
</t>
      </text>
    </comment>
    <comment ref="V62" authorId="1" shapeId="0">
      <text>
        <t xml:space="preserve">
=== CORRELATION DETAILS ===
Aeronave:   Avy Aera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2" authorId="2" shapeId="0">
      <text>
        <t>[Verificación] R ≈ (h · 3600 · IAS) / 1000
[Fórmula] Δrel = |A − B| / max(|A|, |B|, 1e−12) con A=R, B=(h·3600·V)/1000
[Normalización] Escala el error a porcentaje relativo de la magnitud observada.
[Sustitución] |100 − (1.25·3600·25)/1000| / max(|100|, |112.5|, 1e−12)
[Resultado] Δrel=0.111111 (11.11%); severidad: no_confiable</t>
      </text>
    </comment>
    <comment ref="X62" authorId="1" shapeId="0">
      <text>
        <t xml:space="preserve">
=== CORRELATION DETAILS ===
Aeronave:   Avy Aera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2" authorId="1" shapeId="0">
      <text>
        <t xml:space="preserve">
=== CORRELATION DETAILS ===
Aeronave:   Avy Aera
Parámetro:   Peso frame
Valor imputado:   nan
Confianza:   0
Corr:   0
k:   0
Tipo Modelo:   n/a
Predictores:   
Penalizacion_k:   0
Familia:   sin filtro
Método predictivo:   Correlacion
Advertencia:   ❌ No se permite imputación sin filtro para esta celda.
Iteración imputación:   3
</t>
      </text>
    </comment>
    <comment ref="Z62" authorId="1" shapeId="0">
      <text>
        <t xml:space="preserve">
=== CORRELATION DETAILS ===
Aeronave:   Avy Aera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2" authorId="1" shapeId="0">
      <text>
        <t xml:space="preserve">=== CÁLCULO APLICADO ===
formula:   W0 = MTOW - Payload
inputs:
    MTOW:   19.5
    Payload:   3
</t>
      </text>
    </comment>
    <comment ref="AB62" authorId="1" shapeId="0">
      <text>
        <t xml:space="preserve">
=== CORRELATION DETAILS ===
Aeronave:   Avy Aera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62" authorId="1" shapeId="0">
      <text>
        <t xml:space="preserve">
=== CORRELATION DETAILS ===
Aeronave:   Avy Aera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2" authorId="1" shapeId="0">
      <text>
        <t xml:space="preserve">
=== CORRELATION DETAILS ===
Aeronave:   Avy Aera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2" authorId="1" shapeId="0">
      <text>
        <t xml:space="preserve">
=== CORRELATION DETAILS ===
Aeronave:   Avy Aera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2" authorId="1" shapeId="0">
      <text>
        <t xml:space="preserve">
=== CORRELATION DETAILS ===
Aeronave:   Avy Aera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62" authorId="1" shapeId="0">
      <text>
        <t xml:space="preserve">
=== CORRELATION DETAILS ===
Aeronave:   Avy Aera
Parámetro:   Consumo
Valor imputado:   nan
Confianza:   0
Corr:   0
k:   0
Tipo Modelo:   n/a
Predictores:   
Penalizacion_k:   0
Familia:   sin filtro
Método predictivo:   Correlacion
Advertencia:   ❌ No se permite imputación sin filtro para esta celda.
Iteración imputación:   3
</t>
      </text>
    </comment>
    <comment ref="AI62" authorId="1" shapeId="0">
      <text>
        <t xml:space="preserve">
=== CORRELATION DETAILS ===
Aeronave:   Avy Aera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2" authorId="1" shapeId="0">
      <text>
        <t xml:space="preserve">
=== CORRELATION DETAILS ===
Aeronave:   Avy Aera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2" authorId="1" shapeId="0">
      <text>
        <t xml:space="preserve">
=== CORRELATION DETAILS ===
Aeronave:   Avy Aera
Parámetro:   Precio
Valor imputado:   nan
Confianza:   0
Corr:   0
k:   0
Tipo Modelo:   n/a
Predictores:   
Penalizacion_k:   0
Familia:   sin filtro
Método predictivo:   Correlacion
Advertencia:   ❌ No se permite imputación sin filtro para esta celda.
Iteración imputación:   3
</t>
      </text>
    </comment>
    <comment ref="AL62" authorId="1" shapeId="0">
      <text>
        <t xml:space="preserve">
=== CORRELATION DETAILS ===
Aeronave:   Avy Aera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3" authorId="1" shapeId="0">
      <text>
        <t xml:space="preserve">
=== CORRELATION DETAILS ===
Aeronave:   Event 38 E400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3" authorId="1" shapeId="0">
      <text>
        <t xml:space="preserve">
=== CORRELATION DETAILS ===
Aeronave:   Event 38 E400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3" authorId="1" shapeId="0">
      <text>
        <t xml:space="preserve">=== CÁLCULO APLICADO ===
formula:   TAS_5000 = IAS / sqrt(σ_5000)
inputs:
    IAS:   16
    σ_5000:   0.862
</t>
      </text>
    </comment>
    <comment ref="E63" authorId="1" shapeId="0">
      <text>
        <t xml:space="preserve">
=== CORRELATION DETAILS ===
Aeronave:   Event 38 E400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3" authorId="1" shapeId="0">
      <text>
        <t xml:space="preserve">
=== CORRELATION DETAILS ===
Aeronave:   Event 38 E400 VTOL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G63" authorId="1" shapeId="0">
      <text>
        <t xml:space="preserve">
=== CORRELATION DETAILS ===
Aeronave:   Event 38 E400 VTOL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3" authorId="1" shapeId="0">
      <text>
        <t xml:space="preserve">
=== CORRELATION DETAILS ===
Aeronave:   Event 38 E400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3" authorId="1" shapeId="0">
      <text>
        <t xml:space="preserve">
=== CORRELATION DETAILS ===
Aeronave:   Event 38 E400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3" authorId="1" shapeId="0">
      <text>
        <t xml:space="preserve">
=== CORRELATION DETAILS ===
Aeronave:   Event 38 E400 VTOL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O63" authorId="1" shapeId="0">
      <text>
        <t xml:space="preserve">=== IMPUTED VALUE ===
Aeronave:   Event 38 E400 VTOL
Parámetro:   Velocidad máxima (m/s IAS)
Valor imputado:   38.6
Confianza:   0.636
Método predictivo:   Correlacion
Iteración imputación:   2
variable_independiente_1:   1.5
=== CORRELATION DETAILS ===
Aeronave:   Event 38 E400 VTOL
Parámetro:   Velocidad máxima (m/s IAS)
Valor imputado:   38.6
Confianza:   0.636
Tipo Modelo:   pot-1
Predictores:   Autonomía de la aeronave
Coeficientes: [-0.163]
Peso de predictores: [1]
Aeronaves entrenamiento: [DeltaQuad Evo, DeltaQuad Pro #MAP, DeltaQuad Pro #CARGO, V21, V25, JOUAV CW-15, JOUAV CW-25E, YANGDA Sky Whale Heavy Lift Long Endurance Electric VTOL Drone, YANGDA Sky Whale Max Electric Heavy Lift Long Endurance VTOL Drone, YANGDA Sky Whale Mini Electric Long Endurance VTOL Drone, T-Drones VA32, Avy Aera]
k:   12
Penalizacion_k:   0.826
Corr:   0.77
MAPE:   2.88
R2:   0.732
Confianza_LOOCV:   0.538
k_LOOCV:   12
Corr_LOOCV:   0.652
MAPE_LOOCV:   3.91
R2_LOOCV:   0.564
Método predictivo:   Correlacion
Advertencia:   🟡 Modelo no robusto
Familia:   F0
Iteración imputación:   2
variable_independiente_1:   1.5
</t>
      </text>
    </comment>
    <comment ref="P63" authorId="1" shapeId="0">
      <text>
        <t xml:space="preserve">
=== CORRELATION DETAILS ===
Aeronave:   Event 38 E400 VTOL
Parámetro:   Velocidad de pérdida (m/s CAS)
Valor imputado:   nan
Confianza:   0
Corr:   0
k:   0
Tipo Modelo:   n/a
Predictores:   
Penalizacion_k:   0
Familia:   F0
Método predictivo:   Correlacion
Advertencia:   ❌ Todos los modelos descartados por LOOCV (MAPE &gt; 12.5% o R2 &lt;= 0.45)
Iteración imputación:   3
</t>
      </text>
    </comment>
    <comment ref="Q63" authorId="1" shapeId="0">
      <text>
        <t xml:space="preserve">
=== CORRELATION DETAILS ===
Aeronave:   Event 38 E400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3" authorId="1" shapeId="0">
      <text>
        <t xml:space="preserve">
=== CORRELATION DETAILS ===
Aeronave:   Event 38 E400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3" authorId="1" shapeId="0">
      <text>
        <t xml:space="preserve">
=== CORRELATION DETAILS ===
Aeronave:   Event 38 E400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63" authorId="1" shapeId="0">
      <text>
        <t xml:space="preserve">
=== CORRELATION DETAILS ===
Aeronave:   Event 38 E400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3" authorId="1" shapeId="0">
      <text>
        <t xml:space="preserve">
=== CORRELATION DETAILS ===
Aeronave:   Event 38 E400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3" authorId="1" shapeId="0">
      <text>
        <t xml:space="preserve">
=== CORRELATION DETAILS ===
Aeronave:   Event 38 E400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63" authorId="1" shapeId="0">
      <text>
        <t xml:space="preserve">
=== CORRELATION DETAILS ===
Aeronave:   Event 38 E400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3" authorId="1" shapeId="0">
      <text>
        <t xml:space="preserve">=== CÁLCULO APLICADO ===
formula:   W0 = MTOW - Payload
inputs:
    MTOW:   9.3
    Payload:   1.3
</t>
      </text>
    </comment>
    <comment ref="AB63" authorId="1" shapeId="0">
      <text>
        <t xml:space="preserve">
=== CORRELATION DETAILS ===
Aeronave:   Event 38 E400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3" authorId="1" shapeId="0">
      <text>
        <t xml:space="preserve">
=== CORRELATION DETAILS ===
Aeronave:   Event 38 E400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3" authorId="1" shapeId="0">
      <text>
        <t xml:space="preserve">
=== CORRELATION DETAILS ===
Aeronave:   Event 38 E400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3" authorId="1" shapeId="0">
      <text>
        <t xml:space="preserve">
=== CORRELATION DETAILS ===
Aeronave:   Event 38 E400 VTOL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63" authorId="1" shapeId="0">
      <text>
        <t xml:space="preserve">
=== CORRELATION DETAILS ===
Aeronave:   Event 38 E400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63" authorId="1" shapeId="0">
      <text>
        <t xml:space="preserve">
=== CORRELATION DETAILS ===
Aeronave:   Event 38 E400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3" authorId="1" shapeId="0">
      <text>
        <t xml:space="preserve">
=== CORRELATION DETAILS ===
Aeronave:   Event 38 E400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3" authorId="1" shapeId="0">
      <text>
        <t xml:space="preserve">
=== CORRELATION DETAILS ===
Aeronave:   Event 38 E400 VTOL
Parámetro:   Precio
Valor imputado:   nan
Confianza:   0
Corr:   0
k:   0
Tipo Modelo:   n/a
Predictores:   
Penalizacion_k:   0
Familia:   sin filtro
Método predictivo:   Correlacion
Advertencia:   ❌ No se permite imputación sin filtro para esta celda.
Iteración imputación:   3
</t>
      </text>
    </comment>
    <comment ref="AL63" authorId="1" shapeId="0">
      <text>
        <t xml:space="preserve">
=== CORRELATION DETAILS ===
Aeronave:   Event 38 E400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4" authorId="1" shapeId="0">
      <text>
        <t xml:space="preserve">
=== CORRELATION DETAILS ===
Aeronave:   Aerovel Flexrotor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4" authorId="1" shapeId="0">
      <text>
        <t xml:space="preserve">
=== CORRELATION DETAILS ===
Aeronave:   Aerovel Flexrotor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4" authorId="1" shapeId="0">
      <text>
        <t xml:space="preserve">
=== CORRELATION DETAILS ===
Aeronave:   Aerovel Flexrotor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4" authorId="1" shapeId="0">
      <text>
        <t xml:space="preserve">
=== CORRELATION DETAILS ===
Aeronave:   Aerovel Flexrotor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4" authorId="1" shapeId="0">
      <text>
        <t xml:space="preserve">
=== CORRELATION DETAILS ===
Aeronave:   Aerovel Flexrotor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4" authorId="1" shapeId="0">
      <text>
        <t xml:space="preserve">
=== CORRELATION DETAILS ===
Aeronave:   Aerovel Flexrotor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4" authorId="1" shapeId="0">
      <text>
        <t xml:space="preserve">
=== CORRELATION DETAILS ===
Aeronave:   Aerovel Flexrotor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4" authorId="1" shapeId="0">
      <text>
        <t xml:space="preserve">
=== CORRELATION DETAILS ===
Aeronave:   Aerovel Flexrotor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4" authorId="1" shapeId="0">
      <text>
        <t xml:space="preserve">
=== CORRELATION DETAILS ===
Aeronave:   Aerovel Flexrotor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4" authorId="1" shapeId="0">
      <text>
        <t xml:space="preserve">
=== CORRELATION DETAILS ===
Aeronave:   Aerovel Flexrotor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P64" authorId="1" shapeId="0">
      <text>
        <t xml:space="preserve">
=== CORRELATION DETAILS ===
Aeronave:   Aerovel Flexrotor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4" authorId="1" shapeId="0">
      <text>
        <t xml:space="preserve">
=== CORRELATION DETAILS ===
Aeronave:   Aerovel Flexrotor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4" authorId="1" shapeId="0">
      <text>
        <t xml:space="preserve">
=== CORRELATION DETAILS ===
Aeronave:   Aerovel Flexrotor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4" authorId="1" shapeId="0">
      <text>
        <t xml:space="preserve">
=== CORRELATION DETAILS ===
Aeronave:   Aerovel Flexrotor
Parámetro:   Cuerda
Valor imputado:   nan
Confianza:   0
Corr:   0
k:   0
Tipo Modelo:   n/a
Predictores:   
Penalizacion_k:   0
Familia:   sin filtro
Método predictivo:   Correlacion
Advertencia:   ❌ No se permite imputación sin filtro para esta celda.
Iteración imputación:   3
</t>
      </text>
    </comment>
    <comment ref="V64" authorId="1" shapeId="0">
      <text>
        <t xml:space="preserve">
=== CORRELATION DETAILS ===
Aeronave:   Aerovel Flexrotor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4" authorId="1" shapeId="0">
      <text>
        <t xml:space="preserve">
=== CORRELATION DETAILS ===
Aeronave:   Aerovel Flexrotor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64" authorId="1" shapeId="0">
      <text>
        <t xml:space="preserve">
=== CORRELATION DETAILS ===
Aeronave:   Aerovel Flexrotor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4" authorId="1" shapeId="0">
      <text>
        <t xml:space="preserve">
=== CORRELATION DETAILS ===
Aeronave:   Aerovel Flexrotor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64" authorId="1" shapeId="0">
      <text>
        <t xml:space="preserve">
=== CORRELATION DETAILS ===
Aeronave:   Aerovel Flexrotor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4" authorId="1" shapeId="0">
      <text>
        <t xml:space="preserve">=== CÁLCULO APLICADO ===
formula:   W0 = MTOW - Payload
inputs:
    MTOW:   25
    Payload:   8
</t>
      </text>
    </comment>
    <comment ref="AB64" authorId="1" shapeId="0">
      <text>
        <t xml:space="preserve">
=== CORRELATION DETAILS ===
Aeronave:   Aerovel Flexrotor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4" authorId="1" shapeId="0">
      <text>
        <t xml:space="preserve">
=== CORRELATION DETAILS ===
Aeronave:   Aerovel Flexrotor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64" authorId="1" shapeId="0">
      <text>
        <t xml:space="preserve">
=== CORRELATION DETAILS ===
Aeronave:   Aerovel Flexrotor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4" authorId="1" shapeId="0">
      <text>
        <t xml:space="preserve">
=== CORRELATION DETAILS ===
Aeronave:   Aerovel Flexrotor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4" authorId="1" shapeId="0">
      <text>
        <t xml:space="preserve">
=== CORRELATION DETAILS ===
Aeronave:   Aerovel Flexrotor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4" authorId="1" shapeId="0">
      <text>
        <t xml:space="preserve">
=== CORRELATION DETAILS ===
Aeronave:   Aerovel Flexrotor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64" authorId="1" shapeId="0">
      <text>
        <t xml:space="preserve">
=== CORRELATION DETAILS ===
Aeronave:   Aerovel Flexrotor
Parámetro:   Consumo
Valor imputado:   nan
Confianza:   0
Corr:   0
k:   0
Tipo Modelo:   n/a
Predictores:   
Penalizacion_k:   0
Familia:   sin filtro
Método predictivo:   Correlacion
Advertencia:   ❌ No se permite imputación sin filtro para esta celda.
Iteración imputación:   3
</t>
      </text>
    </comment>
    <comment ref="AI64" authorId="1" shapeId="0">
      <text>
        <t xml:space="preserve">
=== CORRELATION DETAILS ===
Aeronave:   Aerovel Flexrotor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4" authorId="1" shapeId="0">
      <text>
        <t xml:space="preserve">
=== CORRELATION DETAILS ===
Aeronave:   Aerovel Flexrotor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4" authorId="1" shapeId="0">
      <text>
        <t xml:space="preserve">
=== CORRELATION DETAILS ===
Aeronave:   Aerovel Flexrotor
Parámetro:   Precio
Valor imputado:   nan
Confianza:   0
Corr:   0
k:   0
Tipo Modelo:   n/a
Predictores:   
Penalizacion_k:   0
Familia:   sin filtro
Método predictivo:   Correlacion
Advertencia:   ❌ No se permite imputación sin filtro para esta celda.
Iteración imputación:   3
</t>
      </text>
    </comment>
    <comment ref="AL64" authorId="1" shapeId="0">
      <text>
        <t xml:space="preserve">
=== CORRELATION DETAILS ===
Aeronave:   Aerovel Flexrotor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5" authorId="1" shapeId="0">
      <text>
        <t xml:space="preserve">
=== CORRELATION DETAILS ===
Aeronave:   FIXAR 007 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5" authorId="1" shapeId="0">
      <text>
        <t xml:space="preserve">
=== CORRELATION DETAILS ===
Aeronave:   FIXAR 007 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5" authorId="1" shapeId="0">
      <text>
        <t xml:space="preserve">=== CÁLCULO APLICADO ===
formula:   TAS_5000 = IAS / sqrt(σ_5000)
inputs:
    IAS:   18
    σ_5000:   0.862
</t>
      </text>
    </comment>
    <comment ref="F65" authorId="1" shapeId="0">
      <text>
        <t xml:space="preserve">=== IMPUTED VALUE ===
Aeronave:   FIXAR 007 NG
Parámetro:   Velocidad de pérdida limpia (m/s CAS)
Valor imputado:   14.4
Confianza:   0.331
Método predictivo:   Correlacion
Iteración imputación:   1
variable_independiente_1:   18
=== CORRELATION DETAILS ===
Aeronave:   FIXAR 007 NG
Parámetro:   Velocidad de pérdida limpia (m/s CAS)
Valor imputado:   14.4
Confianza:   0.331
Tipo Modelo:   poly-1
Predictores:   Velocidad crucero m/s
Coeficientes: [1.62, -0.032]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0.931
MAPE:   1.22
R2:   0.943
Confianza_LOOCV:   0.281
k_LOOCV:   6
Corr_LOOCV:   0.79
MAPE_LOOCV:   2.66
R2_LOOCV:   0.758
Método predictivo:   Correlacion
Advertencia:   🟢 Modelo robusto
Familia:   F1
Iteración imputación:   1
variable_independiente_1:   18
</t>
      </text>
    </comment>
    <comment ref="G65" authorId="1" shapeId="0">
      <text>
        <t xml:space="preserve">
=== CORRELATION DETAILS ===
Aeronave:   FIXAR 007 NG
Parámetro:   Área del ala
Valor imputado:   nan
Confianza:   0
Corr:   0
k:   0
Tipo Modelo:   n/a
Predictores:   
Penalizacion_k:   0
Familia:   F2
Método predictivo:   Correlacion
Advertencia:   ❌ Todos los modelos descartados por LOOCV (MAPE &gt; 12.5% o R2 &lt;= 0.45)
Iteración imputación:   3
</t>
      </text>
    </comment>
    <comment ref="H65" authorId="1" shapeId="0">
      <text>
        <t xml:space="preserve">
=== CORRELATION DETAILS ===
Aeronave:   FIXAR 007 NG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5" authorId="1" shapeId="0">
      <text>
        <t xml:space="preserve">
=== CORRELATION DETAILS ===
Aeronave:   FIXAR 007 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5" authorId="1" shapeId="0">
      <text>
        <t xml:space="preserve">
=== CORRELATION DETAILS ===
Aeronave:   FIXAR 007 NG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5" authorId="2" shapeId="0">
      <text>
        <t>[Verificación] R ≈ (h · 3600 · IAS) / 1000
[Fórmula] Δrel = |A − B| / max(|A|, |B|, 1e−12) con A=R, B=(h·3600·V)/1000
[Normalización] Escala el error a porcentaje relativo de la magnitud observada.
[Sustitución] |55 − (1.17·3600·18)/1000| / max(|55|, |75.816|, 1e−12)
[Resultado] Δrel=0.274559 (27.46%); severidad: no_confiable</t>
      </text>
    </comment>
    <comment ref="N65" authorId="2" shapeId="0">
      <text>
        <t>[Verificación] R ≈ (h · 3600 · IAS) / 1000
[Fórmula] Δrel = |A − B| / max(|A|, |B|, 1e−12) con A=R, B=(h·3600·V)/1000
[Normalización] Escala el error a porcentaje relativo de la magnitud observada.
[Sustitución] |55 − (1.17·3600·18)/1000| / max(|55|, |75.816|, 1e−12)
[Resultado] Δrel=0.274559 (27.46%); severidad: no_confiable</t>
      </text>
    </comment>
    <comment ref="P65" authorId="1" shapeId="0">
      <text>
        <t xml:space="preserve">=== IMPUTED VALUE ===
Aeronave:   FIXAR 007 NG
Parámetro:   Velocidad de pérdida (m/s CAS)
Valor imputado:   14.4
Confianza:   0.355
Método predictivo:   Correlacion
Iteración imputación:   2
variable_independiente_1:   14.4
=== CORRELATION DETAILS ===
Aeronave:   FIXAR 007 NG
Parámetro:   Velocidad de pérdida (m/s CAS)
Valor imputado:   14.4
Confianza:   0.355
Tipo Modelo:   linear-1
Predictores:   Velocidad de pérdida limpia (m/s CAS)
Coeficientes: [1]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Familia:   F1
Iteración imputación:   2
variable_independiente_1:   14.4
</t>
      </text>
    </comment>
    <comment ref="Q65" authorId="1" shapeId="0">
      <text>
        <t xml:space="preserve">
=== CORRELATION DETAILS ===
Aeronave:   FIXAR 007 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5" authorId="1" shapeId="0">
      <text>
        <t xml:space="preserve">
=== CORRELATION DETAILS ===
Aeronave:   FIXAR 007 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5" authorId="1" shapeId="0">
      <text>
        <t xml:space="preserve">
=== CORRELATION DETAILS ===
Aeronave:   FIXAR 007 NG
Parámetro:   Cuerda
Valor imputado:   nan
Confianza:   0
Corr:   0
k:   0
Tipo Modelo:   n/a
Predictores:   
Penalizacion_k:   0
Familia:   sin filtro
Método predictivo:   Correlacion
Advertencia:   ❌ No se permite imputación sin filtro para esta celda.
Iteración imputación:   3
</t>
      </text>
    </comment>
    <comment ref="V65" authorId="1" shapeId="0">
      <text>
        <t xml:space="preserve">
=== CORRELATION DETAILS ===
Aeronave:   FIXAR 007 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5" authorId="2" shapeId="0">
      <text>
        <t>[Verificación] R ≈ (h · 3600 · IAS) / 1000
[Fórmula] Δrel = |A − B| / max(|A|, |B|, 1e−12) con A=R, B=(h·3600·V)/1000
[Normalización] Escala el error a porcentaje relativo de la magnitud observada.
[Sustitución] |55 − (1.17·3600·18)/1000| / max(|55|, |75.816|, 1e−12)
[Resultado] Δrel=0.274559 (27.46%); severidad: no_confiable</t>
      </text>
    </comment>
    <comment ref="X65" authorId="1" shapeId="0">
      <text>
        <t xml:space="preserve">
=== CORRELATION DETAILS ===
Aeronave:   FIXAR 007 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5" authorId="1" shapeId="0">
      <text>
        <t xml:space="preserve">
=== CORRELATION DETAILS ===
Aeronave:   FIXAR 007 NG
Parámetro:   Peso frame
Valor imputado:   nan
Confianza:   0
Corr:   0
k:   0
Tipo Modelo:   n/a
Predictores:   
Penalizacion_k:   0
Familia:   sin filtro
Método predictivo:   Correlacion
Advertencia:   ❌ No se permite imputación sin filtro para esta celda.
Iteración imputación:   3
</t>
      </text>
    </comment>
    <comment ref="Z65" authorId="1" shapeId="0">
      <text>
        <t xml:space="preserve">
=== CORRELATION DETAILS ===
Aeronave:   FIXAR 007 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5" authorId="1" shapeId="0">
      <text>
        <t xml:space="preserve">=== CÁLCULO APLICADO ===
formula:   W0 = MTOW - Payload
inputs:
    MTOW:   7
    Payload:   2
</t>
      </text>
    </comment>
    <comment ref="AB65" authorId="1" shapeId="0">
      <text>
        <t xml:space="preserve">
=== CORRELATION DETAILS ===
Aeronave:   FIXAR 007 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65" authorId="1" shapeId="0">
      <text>
        <t xml:space="preserve">
=== CORRELATION DETAILS ===
Aeronave:   FIXAR 007 NG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5" authorId="1" shapeId="0">
      <text>
        <t xml:space="preserve">
=== CORRELATION DETAILS ===
Aeronave:   FIXAR 007 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5" authorId="1" shapeId="0">
      <text>
        <t xml:space="preserve">
=== CORRELATION DETAILS ===
Aeronave:   FIXAR 007 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5" authorId="1" shapeId="0">
      <text>
        <t xml:space="preserve">
=== CORRELATION DETAILS ===
Aeronave:   FIXAR 007 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5" authorId="1" shapeId="0">
      <text>
        <t xml:space="preserve">
=== CORRELATION DETAILS ===
Aeronave:   FIXAR 007 NG
Parámetro:   Consumo
Valor imputado:   nan
Confianza:   0
Corr:   0
k:   0
Tipo Modelo:   n/a
Predictores:   
Penalizacion_k:   0
Familia:   sin filtro
Método predictivo:   Correlacion
Advertencia:   ❌ No se permite imputación sin filtro para esta celda.
Iteración imputación:   3
</t>
      </text>
    </comment>
    <comment ref="AI65" authorId="1" shapeId="0">
      <text>
        <t xml:space="preserve">
=== CORRELATION DETAILS ===
Aeronave:   FIXAR 007 NG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5" authorId="1" shapeId="0">
      <text>
        <t xml:space="preserve">
=== CORRELATION DETAILS ===
Aeronave:   FIXAR 007 NG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5" authorId="1" shapeId="0">
      <text>
        <t xml:space="preserve">
=== CORRELATION DETAILS ===
Aeronave:   FIXAR 007 NG
Parámetro:   Precio
Valor imputado:   nan
Confianza:   0
Corr:   0
k:   0
Tipo Modelo:   n/a
Predictores:   
Penalizacion_k:   0
Familia:   sin filtro
Método predictivo:   Correlacion
Advertencia:   ❌ No se permite imputación sin filtro para esta celda.
Iteración imputación:   3
</t>
      </text>
    </comment>
    <comment ref="AL65" authorId="1" shapeId="0">
      <text>
        <t xml:space="preserve">
=== CORRELATION DETAILS ===
Aeronave:   FIXAR 007 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6" authorId="1" shapeId="0">
      <text>
        <t xml:space="preserve">
=== CORRELATION DETAILS ===
Aeronave:   Autel Dragonfish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6" authorId="1" shapeId="0">
      <text>
        <t xml:space="preserve">
=== CORRELATION DETAILS ===
Aeronave:   Autel Dragonfish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6" authorId="1" shapeId="0">
      <text>
        <t xml:space="preserve">
=== CORRELATION DETAILS ===
Aeronave:   Autel Dragonfish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6" authorId="1" shapeId="0">
      <text>
        <t xml:space="preserve">
=== CORRELATION DETAILS ===
Aeronave:   Autel Dragonfish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6" authorId="1" shapeId="0">
      <text>
        <t xml:space="preserve">=== IMPUTED VALUE ===
Aeronave:   Autel Dragonfish
Parámetro:   Velocidad de pérdida limpia (m/s CAS)
Valor imputado:   14.4
Confianza:   0.618
Método predictivo:   Correlacion
Iteración imputación:   2
variable_independiente_1:   1.75
=== CORRELATION DETAILS ===
Aeronave:   Autel Dragonfish
Parámetro:   Velocidad de pérdida limpia (m/s CAS)
Valor imputado:   14.4
Confianza:   0.618
Tipo Modelo:   exp-1
Predictores:   Autonomía de la aeronave
Coeficientes: [0.0396]
Peso de predictores: [1]
Aeronaves entrenamiento: [V21, V25, JOUAV CW-007, YANGDA Sky Whale Heavy Lift Long Endurance Electric VTOL Drone, YANGDA Sky Whale Max Electric Heavy Lift Long Endurance VTOL Drone, YANGDA Sky Whale Mini Electric Long Endurance VTOL Drone, Trinity Pro, Trinity F90+, Vector, FIXAR 007 NG, Atmos Marlyn Cobalt (VTOL ala fija), Raybe (BETA UAS)]
k:   12
Penalizacion_k:   0.826
Corr:   0.748
MAPE:   2.7
R2:   0.677
Confianza_LOOCV:   0.556
k_LOOCV:   12
Corr_LOOCV:   0.673
MAPE_LOOCV:   3.19
R2_LOOCV:   0.559
Método predictivo:   Correlacion
Advertencia:   🟡 Modelo no robusto
Familia:   F1
Iteración imputación:   2
variable_independiente_1:   1.75
</t>
      </text>
    </comment>
    <comment ref="G66" authorId="1" shapeId="0">
      <text>
        <t xml:space="preserve">
=== CORRELATION DETAILS ===
Aeronave:   Autel Dragonfish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6" authorId="1" shapeId="0">
      <text>
        <t xml:space="preserve">
=== CORRELATION DETAILS ===
Aeronave:   Autel Dragonfish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6" authorId="1" shapeId="0">
      <text>
        <t xml:space="preserve">
=== CORRELATION DETAILS ===
Aeronave:   Autel Dragonfish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6" authorId="1" shapeId="0">
      <text>
        <t xml:space="preserve">
=== CORRELATION DETAILS ===
Aeronave:   Autel Dragonfish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6" authorId="1" shapeId="0">
      <text>
        <t xml:space="preserve">
=== CORRELATION DETAILS ===
Aeronave:   Autel Dragonfish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P66" authorId="1" shapeId="0">
      <text>
        <t xml:space="preserve">
=== CORRELATION DETAILS ===
Aeronave:   Autel Dragonfish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6" authorId="1" shapeId="0">
      <text>
        <t xml:space="preserve">
=== CORRELATION DETAILS ===
Aeronave:   Autel Dragonfish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6" authorId="1" shapeId="0">
      <text>
        <t xml:space="preserve">
=== CORRELATION DETAILS ===
Aeronave:   Autel Dragonfish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6" authorId="1" shapeId="0">
      <text>
        <t xml:space="preserve">
=== CORRELATION DETAILS ===
Aeronave:   Autel Dragonfish
Parámetro:   Cuerda
Valor imputado:   nan
Confianza:   0
Corr:   0
k:   0
Tipo Modelo:   n/a
Predictores:   
Penalizacion_k:   0
Familia:   sin filtro
Método predictivo:   Correlacion
Advertencia:   ❌ No se permite imputación sin filtro para esta celda.
Iteración imputación:   3
</t>
      </text>
    </comment>
    <comment ref="V66" authorId="1" shapeId="0">
      <text>
        <t xml:space="preserve">
=== CORRELATION DETAILS ===
Aeronave:   Autel Dragonfish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6" authorId="1" shapeId="0">
      <text>
        <t xml:space="preserve">
=== CORRELATION DETAILS ===
Aeronave:   Autel Dragonfish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66" authorId="1" shapeId="0">
      <text>
        <t xml:space="preserve">
=== CORRELATION DETAILS ===
Aeronave:   Autel Dragonfish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6" authorId="1" shapeId="0">
      <text>
        <t xml:space="preserve">
=== CORRELATION DETAILS ===
Aeronave:   Autel Dragonfish
Parámetro:   Peso frame
Valor imputado:   nan
Confianza:   0
Corr:   0
k:   0
Tipo Modelo:   n/a
Predictores:   
Penalizacion_k:   0
Familia:   sin filtro
Método predictivo:   Correlacion
Advertencia:   ❌ No se permite imputación sin filtro para esta celda.
Iteración imputación:   3
</t>
      </text>
    </comment>
    <comment ref="Z66" authorId="1" shapeId="0">
      <text>
        <t xml:space="preserve">
=== CORRELATION DETAILS ===
Aeronave:   Autel Dragonfish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6" authorId="1" shapeId="0">
      <text>
        <t xml:space="preserve">
=== CORRELATION DETAILS ===
Aeronave:   Autel Dragonfish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6" authorId="1" shapeId="0">
      <text>
        <t xml:space="preserve">
=== CORRELATION DETAILS ===
Aeronave:   Autel Dragonfish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66" authorId="1" shapeId="0">
      <text>
        <t xml:space="preserve">
=== CORRELATION DETAILS ===
Aeronave:   Autel Dragonfish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6" authorId="1" shapeId="0">
      <text>
        <t xml:space="preserve">
=== CORRELATION DETAILS ===
Aeronave:   Autel Dragonfish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6" authorId="1" shapeId="0">
      <text>
        <t xml:space="preserve">
=== CORRELATION DETAILS ===
Aeronave:   Autel Dragonfish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6" authorId="1" shapeId="0">
      <text>
        <t xml:space="preserve">
=== CORRELATION DETAILS ===
Aeronave:   Autel Dragonfish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6" authorId="1" shapeId="0">
      <text>
        <t xml:space="preserve">
=== CORRELATION DETAILS ===
Aeronave:   Autel Dragonfish
Parámetro:   Consumo
Valor imputado:   nan
Confianza:   0
Corr:   0
k:   0
Tipo Modelo:   n/a
Predictores:   
Penalizacion_k:   0
Familia:   sin filtro
Método predictivo:   Correlacion
Advertencia:   ❌ No se permite imputación sin filtro para esta celda.
Iteración imputación:   3
</t>
      </text>
    </comment>
    <comment ref="AI66" authorId="1" shapeId="0">
      <text>
        <t xml:space="preserve">
=== CORRELATION DETAILS ===
Aeronave:   Autel Dragonfish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6" authorId="1" shapeId="0">
      <text>
        <t xml:space="preserve">
=== CORRELATION DETAILS ===
Aeronave:   Autel Dragonfish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6" authorId="1" shapeId="0">
      <text>
        <t xml:space="preserve">
=== CORRELATION DETAILS ===
Aeronave:   Autel Dragonfish
Parámetro:   Precio
Valor imputado:   nan
Confianza:   0
Corr:   0
k:   0
Tipo Modelo:   n/a
Predictores:   
Penalizacion_k:   0
Familia:   sin filtro
Método predictivo:   Correlacion
Advertencia:   ❌ No se permite imputación sin filtro para esta celda.
Iteración imputación:   3
</t>
      </text>
    </comment>
    <comment ref="AL66" authorId="1" shapeId="0">
      <text>
        <t xml:space="preserve">
=== CORRELATION DETAILS ===
Aeronave:   Autel Dragonfish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7" authorId="1" shapeId="0">
      <text>
        <t xml:space="preserve">
=== CORRELATION DETAILS ===
Aeronave:   Autel Dragonfish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7" authorId="1" shapeId="0">
      <text>
        <t xml:space="preserve">
=== CORRELATION DETAILS ===
Aeronave:   Autel Dragonfish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7" authorId="1" shapeId="0">
      <text>
        <t xml:space="preserve">
=== CORRELATION DETAILS ===
Aeronave:   Autel Dragonfish Pro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7" authorId="1" shapeId="0">
      <text>
        <t xml:space="preserve">
=== CORRELATION DETAILS ===
Aeronave:   Autel Dragonfish Pro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7" authorId="1" shapeId="0">
      <text>
        <t xml:space="preserve">=== IMPUTED VALUE ===
Aeronave:   Autel Dragonfish Pro
Parámetro:   Velocidad de pérdida limpia (m/s CAS)
Valor imputado:   15.1
Confianza:   0.618
Método predictivo:   Correlacion
Iteración imputación:   2
variable_independiente_1:   3
=== CORRELATION DETAILS ===
Aeronave:   Autel Dragonfish Pro
Parámetro:   Velocidad de pérdida limpia (m/s CAS)
Valor imputado:   15.1
Confianza:   0.618
Tipo Modelo:   exp-1
Predictores:   Autonomía de la aeronave
Coeficientes: [0.0396]
Peso de predictores: [1]
Aeronaves entrenamiento: [V21, V25, JOUAV CW-007, YANGDA Sky Whale Heavy Lift Long Endurance Electric VTOL Drone, YANGDA Sky Whale Max Electric Heavy Lift Long Endurance VTOL Drone, YANGDA Sky Whale Mini Electric Long Endurance VTOL Drone, Trinity Pro, Trinity F90+, Vector, FIXAR 007 NG, Atmos Marlyn Cobalt (VTOL ala fija), Raybe (BETA UAS)]
k:   12
Penalizacion_k:   0.826
Corr:   0.748
MAPE:   2.7
R2:   0.677
Confianza_LOOCV:   0.556
k_LOOCV:   12
Corr_LOOCV:   0.673
MAPE_LOOCV:   3.19
R2_LOOCV:   0.559
Método predictivo:   Correlacion
Advertencia:   🟡 Modelo no robusto
Familia:   F1
Iteración imputación:   2
variable_independiente_1:   3
</t>
      </text>
    </comment>
    <comment ref="G67" authorId="1" shapeId="0">
      <text>
        <t xml:space="preserve">
=== CORRELATION DETAILS ===
Aeronave:   Autel Dragonfish Pro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7" authorId="1" shapeId="0">
      <text>
        <t xml:space="preserve">
=== CORRELATION DETAILS ===
Aeronave:   Autel Dragonfish Pro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7" authorId="1" shapeId="0">
      <text>
        <t xml:space="preserve">
=== CORRELATION DETAILS ===
Aeronave:   Autel Dragonfish Pro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7" authorId="1" shapeId="0">
      <text>
        <t xml:space="preserve">
=== CORRELATION DETAILS ===
Aeronave:   Autel Dragonfish Pro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7" authorId="1" shapeId="0">
      <text>
        <t xml:space="preserve">
=== CORRELATION DETAILS ===
Aeronave:   Autel Dragonfish Pro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P67" authorId="1" shapeId="0">
      <text>
        <t xml:space="preserve">
=== CORRELATION DETAILS ===
Aeronave:   Autel Dragonfish Pro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7" authorId="1" shapeId="0">
      <text>
        <t xml:space="preserve">
=== CORRELATION DETAILS ===
Aeronave:   Autel Dragonfish Pro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7" authorId="1" shapeId="0">
      <text>
        <t xml:space="preserve">
=== CORRELATION DETAILS ===
Aeronave:   Autel Dragonfish Pro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7" authorId="1" shapeId="0">
      <text>
        <t xml:space="preserve">
=== CORRELATION DETAILS ===
Aeronave:   Autel Dragonfish Pro
Parámetro:   Cuerda
Valor imputado:   nan
Confianza:   0
Corr:   0
k:   0
Tipo Modelo:   n/a
Predictores:   
Penalizacion_k:   0
Familia:   sin filtro
Método predictivo:   Correlacion
Advertencia:   ❌ No se permite imputación sin filtro para esta celda.
Iteración imputación:   3
</t>
      </text>
    </comment>
    <comment ref="V67" authorId="1" shapeId="0">
      <text>
        <t xml:space="preserve">
=== CORRELATION DETAILS ===
Aeronave:   Autel Dragonfish Pro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7" authorId="1" shapeId="0">
      <text>
        <t xml:space="preserve">
=== CORRELATION DETAILS ===
Aeronave:   Autel Dragonfish Pro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67" authorId="1" shapeId="0">
      <text>
        <t xml:space="preserve">
=== CORRELATION DETAILS ===
Aeronave:   Autel Dragonfish Pro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7" authorId="1" shapeId="0">
      <text>
        <t xml:space="preserve">
=== CORRELATION DETAILS ===
Aeronave:   Autel Dragonfish Pro
Parámetro:   Peso frame
Valor imputado:   nan
Confianza:   0
Corr:   0
k:   0
Tipo Modelo:   n/a
Predictores:   
Penalizacion_k:   0
Familia:   sin filtro
Método predictivo:   Correlacion
Advertencia:   ❌ No se permite imputación sin filtro para esta celda.
Iteración imputación:   3
</t>
      </text>
    </comment>
    <comment ref="Z67" authorId="1" shapeId="0">
      <text>
        <t xml:space="preserve">
=== CORRELATION DETAILS ===
Aeronave:   Autel Dragonfish Pro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7" authorId="1" shapeId="0">
      <text>
        <t xml:space="preserve">
=== CORRELATION DETAILS ===
Aeronave:   Autel Dragonfish Pro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7" authorId="1" shapeId="0">
      <text>
        <t xml:space="preserve">
=== CORRELATION DETAILS ===
Aeronave:   Autel Dragonfish Pro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67" authorId="1" shapeId="0">
      <text>
        <t xml:space="preserve">
=== CORRELATION DETAILS ===
Aeronave:   Autel Dragonfish Pro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7" authorId="1" shapeId="0">
      <text>
        <t xml:space="preserve">
=== CORRELATION DETAILS ===
Aeronave:   Autel Dragonfish Pro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7" authorId="1" shapeId="0">
      <text>
        <t xml:space="preserve">
=== CORRELATION DETAILS ===
Aeronave:   Autel Dragonfish Pro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7" authorId="1" shapeId="0">
      <text>
        <t xml:space="preserve">
=== CORRELATION DETAILS ===
Aeronave:   Autel Dragonfish Pro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7" authorId="1" shapeId="0">
      <text>
        <t xml:space="preserve">
=== CORRELATION DETAILS ===
Aeronave:   Autel Dragonfish Pro
Parámetro:   Consumo
Valor imputado:   nan
Confianza:   0
Corr:   0
k:   0
Tipo Modelo:   n/a
Predictores:   
Penalizacion_k:   0
Familia:   sin filtro
Método predictivo:   Correlacion
Advertencia:   ❌ No se permite imputación sin filtro para esta celda.
Iteración imputación:   3
</t>
      </text>
    </comment>
    <comment ref="AI67" authorId="1" shapeId="0">
      <text>
        <t xml:space="preserve">
=== CORRELATION DETAILS ===
Aeronave:   Autel Dragonfish Pro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7" authorId="1" shapeId="0">
      <text>
        <t xml:space="preserve">
=== CORRELATION DETAILS ===
Aeronave:   Autel Dragonfish Pro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7" authorId="1" shapeId="0">
      <text>
        <t xml:space="preserve">
=== CORRELATION DETAILS ===
Aeronave:   Autel Dragonfish Pro
Parámetro:   Precio
Valor imputado:   nan
Confianza:   0
Corr:   0
k:   0
Tipo Modelo:   n/a
Predictores:   
Penalizacion_k:   0
Familia:   sin filtro
Método predictivo:   Correlacion
Advertencia:   ❌ No se permite imputación sin filtro para esta celda.
Iteración imputación:   3
</t>
      </text>
    </comment>
    <comment ref="AL67" authorId="1" shapeId="0">
      <text>
        <t xml:space="preserve">
=== CORRELATION DETAILS ===
Aeronave:   Autel Dragonfish Pro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8" authorId="1" shapeId="0">
      <text>
        <t xml:space="preserve">
=== CORRELATION DETAILS ===
Aeronave:   Atmos Marlyn Cobalt (VTOL ala fija)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8" authorId="1" shapeId="0">
      <text>
        <t xml:space="preserve">
=== CORRELATION DETAILS ===
Aeronave:   Atmos Marlyn Cobalt (VTOL ala fija)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8" authorId="1" shapeId="0">
      <text>
        <t xml:space="preserve">=== CÁLCULO APLICADO ===
formula:   TAS_5000 = IAS / sqrt(σ_5000)
inputs:
    IAS:   18.1
    σ_5000:   0.862
</t>
      </text>
    </comment>
    <comment ref="F68" authorId="1" shapeId="0">
      <text>
        <t xml:space="preserve">=== IMPUTED VALUE ===
Aeronave:   Atmos Marlyn Cobalt (VTOL ala fija)
Parámetro:   Velocidad de pérdida limpia (m/s CAS)
Valor imputado:   14.4
Confianza:   0.331
Método predictivo:   Correlacion
Iteración imputación:   1
variable_independiente_1:   18.1
=== CORRELATION DETAILS ===
Aeronave:   Atmos Marlyn Cobalt (VTOL ala fija)
Parámetro:   Velocidad de pérdida limpia (m/s CAS)
Valor imputado:   14.4
Confianza:   0.331
Tipo Modelo:   poly-1
Predictores:   Velocidad crucero m/s
Coeficientes: [1.62, -0.032]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0.931
MAPE:   1.22
R2:   0.943
Confianza_LOOCV:   0.281
k_LOOCV:   6
Corr_LOOCV:   0.79
MAPE_LOOCV:   2.66
R2_LOOCV:   0.758
Método predictivo:   Correlacion
Advertencia:   🟢 Modelo robusto
Familia:   F1
Iteración imputación:   1
variable_independiente_1:   18.1
</t>
      </text>
    </comment>
    <comment ref="G68" authorId="1" shapeId="0">
      <text>
        <t xml:space="preserve">
=== CORRELATION DETAILS ===
Aeronave:   Atmos Marlyn Cobalt (VTOL ala fija)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8" authorId="1" shapeId="0">
      <text>
        <t xml:space="preserve">
=== CORRELATION DETAILS ===
Aeronave:   Atmos Marlyn Cobalt (VTOL ala fija)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68" authorId="1" shapeId="0">
      <text>
        <t xml:space="preserve">
=== CORRELATION DETAILS ===
Aeronave:   Atmos Marlyn Cobalt (VTOL ala fija)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68" authorId="1" shapeId="0">
      <text>
        <t xml:space="preserve">
=== CORRELATION DETAILS ===
Aeronave:   Atmos Marlyn Cobalt (VTOL ala fija)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8" authorId="1" shapeId="0">
      <text>
        <t xml:space="preserve">
=== CORRELATION DETAILS ===
Aeronave:   Atmos Marlyn Cobalt (VTOL ala fija)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8" authorId="1" shapeId="0">
      <text>
        <t xml:space="preserve">=== CÁLCULO APLICADO ===
formula:   R[km] = h*3600*V/1000
inputs:
    Autonomía[h]:   0.83
    Velocidad[m/s]:   18.1
</t>
      </text>
    </comment>
    <comment ref="O68" authorId="1" shapeId="0">
      <text>
        <t xml:space="preserve">
=== CORRELATION DETAILS ===
Aeronave:   Atmos Marlyn Cobalt (VTOL ala fija)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68" authorId="1" shapeId="0">
      <text>
        <t xml:space="preserve">=== IMPUTED VALUE ===
Aeronave:   Atmos Marlyn Cobalt (VTOL ala fija)
Parámetro:   Velocidad de pérdida (m/s CAS)
Valor imputado:   14.4
Confianza:   0.355
Método predictivo:   Correlacion
Iteración imputación:   2
variable_independiente_1:   14.4
=== CORRELATION DETAILS ===
Aeronave:   Atmos Marlyn Cobalt (VTOL ala fija)
Parámetro:   Velocidad de pérdida (m/s CAS)
Valor imputado:   14.4
Confianza:   0.355
Tipo Modelo:   linear-1
Predictores:   Velocidad de pérdida limpia (m/s CAS)
Coeficientes: [1]
Peso de predictores: [1]
Aeronaves entrenamiento: [V21, V25, YANGDA Sky Whale Heavy Lift Long Endurance Electric VTOL Drone, YANGDA Sky Whale Max Electric Heavy Lift Long Endurance VTOL Drone, YANGDA Sky Whale Mini Electric Long Endurance VTOL Drone, Raybe (BETA UAS)]
k:   6
Penalizacion_k:   0.355
Corr:   1
MAPE:   0
R2:   1
Confianza_LOOCV:   0.355
k_LOOCV:   6
Corr_LOOCV:   1
MAPE_LOOCV:   0
R2_LOOCV:   1
Método predictivo:   Correlacion
Advertencia:   Advertencia: El MAPE de validación es más de 5 veces mayor que el de entrenamiento (0.00% vs 0.00%). Posible sobreajuste.; 🟢 Modelo robusto
Familia:   F1
Iteración imputación:   2
variable_independiente_1:   14.4
</t>
      </text>
    </comment>
    <comment ref="Q68" authorId="1" shapeId="0">
      <text>
        <t xml:space="preserve">
=== CORRELATION DETAILS ===
Aeronave:   Atmos Marlyn Cobalt (VTOL ala fija)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8" authorId="1" shapeId="0">
      <text>
        <t xml:space="preserve">
=== CORRELATION DETAILS ===
Aeronave:   Atmos Marlyn Cobalt (VTOL ala fija)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8" authorId="1" shapeId="0">
      <text>
        <t xml:space="preserve">
=== CORRELATION DETAILS ===
Aeronave:   Atmos Marlyn Cobalt (VTOL ala fija)
Parámetro:   Cuerda
Valor imputado:   nan
Confianza:   0
Corr:   0
k:   0
Tipo Modelo:   n/a
Predictores:   
Penalizacion_k:   0
Familia:   sin filtro
Método predictivo:   Correlacion
Advertencia:   ❌ No se permite imputación sin filtro para esta celda.
Iteración imputación:   3
</t>
      </text>
    </comment>
    <comment ref="V68" authorId="1" shapeId="0">
      <text>
        <t xml:space="preserve">
=== CORRELATION DETAILS ===
Aeronave:   Atmos Marlyn Cobalt (VTOL ala fija)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8" authorId="1" shapeId="0">
      <text>
        <t xml:space="preserve">
=== CORRELATION DETAILS ===
Aeronave:   Atmos Marlyn Cobalt (VTOL ala fija)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8" authorId="1" shapeId="0">
      <text>
        <t xml:space="preserve">
=== CORRELATION DETAILS ===
Aeronave:   Atmos Marlyn Cobalt (VTOL ala fija)
Parámetro:   Peso frame
Valor imputado:   nan
Confianza:   0
Corr:   0
k:   0
Tipo Modelo:   n/a
Predictores:   
Penalizacion_k:   0
Familia:   sin filtro
Método predictivo:   Correlacion
Advertencia:   ❌ No se permite imputación sin filtro para esta celda.
Iteración imputación:   3
</t>
      </text>
    </comment>
    <comment ref="Z68" authorId="1" shapeId="0">
      <text>
        <t xml:space="preserve">
=== CORRELATION DETAILS ===
Aeronave:   Atmos Marlyn Cobalt (VTOL ala fija)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8" authorId="1" shapeId="0">
      <text>
        <t xml:space="preserve">=== CÁLCULO APLICADO ===
formula:   W0 = MTOW - Payload
inputs:
    MTOW:   6.4
    Payload:   15.3
</t>
      </text>
    </comment>
    <comment ref="AB68" authorId="1" shapeId="0">
      <text>
        <t xml:space="preserve">
=== CORRELATION DETAILS ===
Aeronave:   Atmos Marlyn Cobalt (VTOL ala fija)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8" authorId="1" shapeId="0">
      <text>
        <t xml:space="preserve">
=== CORRELATION DETAILS ===
Aeronave:   Atmos Marlyn Cobalt (VTOL ala fija)
Parámetro:   Maximum Crosswind (sostenido)
Valor imputado:   nan
Confianza:   0
Corr:   0
k:   0
Tipo Modelo:   n/a
Predictores:   
Penalizacion_k:   0
Familia:   F2
Método predictivo:   Correlacion
Advertencia:   ❌ Todos los modelos descartados por LOOCV (MAPE &gt; 12.5% o R2 &lt;= 0.45)
Iteración imputación:   3
</t>
      </text>
    </comment>
    <comment ref="AE68" authorId="1" shapeId="0">
      <text>
        <t xml:space="preserve">
=== CORRELATION DETAILS ===
Aeronave:   Atmos Marlyn Cobalt (VTOL ala fija)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8" authorId="1" shapeId="0">
      <text>
        <t xml:space="preserve">
=== CORRELATION DETAILS ===
Aeronave:   Atmos Marlyn Cobalt (VTOL ala fija)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8" authorId="1" shapeId="0">
      <text>
        <t xml:space="preserve">
=== CORRELATION DETAILS ===
Aeronave:   Atmos Marlyn Cobalt (VTOL ala fija)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8" authorId="1" shapeId="0">
      <text>
        <t xml:space="preserve">
=== CORRELATION DETAILS ===
Aeronave:   Atmos Marlyn Cobalt (VTOL ala fija)
Parámetro:   Consumo
Valor imputado:   nan
Confianza:   0
Corr:   0
k:   0
Tipo Modelo:   n/a
Predictores:   
Penalizacion_k:   0
Familia:   sin filtro
Método predictivo:   Correlacion
Advertencia:   ❌ No se permite imputación sin filtro para esta celda.
Iteración imputación:   3
</t>
      </text>
    </comment>
    <comment ref="AI68" authorId="1" shapeId="0">
      <text>
        <t xml:space="preserve">
=== CORRELATION DETAILS ===
Aeronave:   Atmos Marlyn Cobalt (VTOL ala fija)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8" authorId="1" shapeId="0">
      <text>
        <t xml:space="preserve">
=== CORRELATION DETAILS ===
Aeronave:   Atmos Marlyn Cobalt (VTOL ala fija)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8" authorId="1" shapeId="0">
      <text>
        <t xml:space="preserve">
=== CORRELATION DETAILS ===
Aeronave:   Atmos Marlyn Cobalt (VTOL ala fija)
Parámetro:   Precio
Valor imputado:   nan
Confianza:   0
Corr:   0
k:   0
Tipo Modelo:   n/a
Predictores:   
Penalizacion_k:   0
Familia:   sin filtro
Método predictivo:   Correlacion
Advertencia:   ❌ No se permite imputación sin filtro para esta celda.
Iteración imputación:   3
</t>
      </text>
    </comment>
    <comment ref="AL68" authorId="1" shapeId="0">
      <text>
        <t xml:space="preserve">
=== CORRELATION DETAILS ===
Aeronave:   Atmos Marlyn Cobalt (VTOL ala fija)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9" authorId="1" shapeId="0">
      <text>
        <t xml:space="preserve">
=== CORRELATION DETAILS ===
Aeronave:   Aliaca VTOL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9" authorId="1" shapeId="0">
      <text>
        <t xml:space="preserve">
=== CORRELATION DETAILS ===
Aeronave:   Aliaca VTOL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9" authorId="1" shapeId="0">
      <text>
        <t xml:space="preserve">
=== CORRELATION DETAILS ===
Aeronave:   Aliaca VTOL UAS EVO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69" authorId="1" shapeId="0">
      <text>
        <t xml:space="preserve">
=== CORRELATION DETAILS ===
Aeronave:   Aliaca VTOL UAS EVO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text>
    </comment>
    <comment ref="G69" authorId="1" shapeId="0">
      <text>
        <t xml:space="preserve">
=== CORRELATION DETAILS ===
Aeronave:   Aliaca VTOL UAS EVO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9" authorId="1" shapeId="0">
      <text>
        <t xml:space="preserve">
=== CORRELATION DETAILS ===
Aeronave:   Aliaca VTOL UAS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9" authorId="1" shapeId="0">
      <text>
        <t xml:space="preserve">
=== CORRELATION DETAILS ===
Aeronave:   Aliaca VTOL UAS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9" authorId="1" shapeId="0">
      <text>
        <t xml:space="preserve">
=== CORRELATION DETAILS ===
Aeronave:   Aliaca VTOL UAS EVO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9" authorId="1" shapeId="0">
      <text>
        <t xml:space="preserve">
=== CORRELATION DETAILS ===
Aeronave:   Aliaca VTOL UAS EVO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69" authorId="1" shapeId="0">
      <text>
        <t xml:space="preserve">=== IMPUTED VALUE ===
Aeronave:   Aliaca VTOL UAS EVO
Parámetro:   Velocidad máxima (m/s IAS)
Valor imputado:   34.5
Confianza:   0.636
Método predictivo:   Correlacion
Iteración imputación:   2
variable_independiente_1:   3
=== CORRELATION DETAILS ===
Aeronave:   Aliaca VTOL UAS EVO
Parámetro:   Velocidad máxima (m/s IAS)
Valor imputado:   34.5
Confianza:   0.636
Tipo Modelo:   pot-1
Predictores:   Autonomía de la aeronave
Coeficientes: [-0.163]
Peso de predictores: [1]
Aeronaves entrenamiento: [DeltaQuad Evo, DeltaQuad Pro #MAP, DeltaQuad Pro #CARGO, V21, V25, JOUAV CW-15, JOUAV CW-25E, YANGDA Sky Whale Heavy Lift Long Endurance Electric VTOL Drone, YANGDA Sky Whale Max Electric Heavy Lift Long Endurance VTOL Drone, YANGDA Sky Whale Mini Electric Long Endurance VTOL Drone, T-Drones VA32, Avy Aera]
k:   12
Penalizacion_k:   0.826
Corr:   0.77
MAPE:   2.88
R2:   0.732
Confianza_LOOCV:   0.538
k_LOOCV:   12
Corr_LOOCV:   0.652
MAPE_LOOCV:   3.91
R2_LOOCV:   0.564
Método predictivo:   Correlacion
Advertencia:   🟡 Modelo no robusto
Familia:   F0
Iteración imputación:   2
variable_independiente_1:   3
</t>
      </text>
    </comment>
    <comment ref="P69" authorId="1" shapeId="0">
      <text>
        <t xml:space="preserve">
=== CORRELATION DETAILS ===
Aeronave:   Aliaca VTOL UAS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9" authorId="1" shapeId="0">
      <text>
        <t xml:space="preserve">
=== CORRELATION DETAILS ===
Aeronave:   Aliaca VTOL UAS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9" authorId="1" shapeId="0">
      <text>
        <t xml:space="preserve">
=== CORRELATION DETAILS ===
Aeronave:   Aliaca VTOL UAS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9" authorId="1" shapeId="0">
      <text>
        <t xml:space="preserve">
=== CORRELATION DETAILS ===
Aeronave:   Aliaca VTOL UAS EVO
Parámetro:   Cuerda
Valor imputado:   nan
Confianza:   0
Corr:   0
k:   0
Tipo Modelo:   n/a
Predictores:   
Penalizacion_k:   0
Familia:   sin filtro
Método predictivo:   Correlacion
Advertencia:   ❌ No se permite imputación sin filtro para esta celda.
Iteración imputación:   3
</t>
      </text>
    </comment>
    <comment ref="V69" authorId="1" shapeId="0">
      <text>
        <t xml:space="preserve">
=== CORRELATION DETAILS ===
Aeronave:   Aliaca VTOL UAS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9" authorId="1" shapeId="0">
      <text>
        <t xml:space="preserve">
=== CORRELATION DETAILS ===
Aeronave:   Aliaca VTOL UAS EVO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69" authorId="1" shapeId="0">
      <text>
        <t xml:space="preserve">
=== CORRELATION DETAILS ===
Aeronave:   Aliaca VTOL UAS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9" authorId="1" shapeId="0">
      <text>
        <t xml:space="preserve">
=== CORRELATION DETAILS ===
Aeronave:   Aliaca VTOL UAS EVO
Parámetro:   Peso frame
Valor imputado:   nan
Confianza:   0
Corr:   0
k:   0
Tipo Modelo:   n/a
Predictores:   
Penalizacion_k:   0
Familia:   sin filtro
Método predictivo:   Correlacion
Advertencia:   ❌ No se permite imputación sin filtro para esta celda.
Iteración imputación:   3
</t>
      </text>
    </comment>
    <comment ref="Z69" authorId="1" shapeId="0">
      <text>
        <t xml:space="preserve">
=== CORRELATION DETAILS ===
Aeronave:   Aliaca VTOL UAS EVO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B69" authorId="1" shapeId="0">
      <text>
        <t xml:space="preserve">
=== CORRELATION DETAILS ===
Aeronave:   Aliaca VTOL UAS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9" authorId="1" shapeId="0">
      <text>
        <t xml:space="preserve">
=== CORRELATION DETAILS ===
Aeronave:   Aliaca VTOL UAS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9" authorId="1" shapeId="0">
      <text>
        <t xml:space="preserve">
=== CORRELATION DETAILS ===
Aeronave:   Aliaca VTOL UAS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9" authorId="1" shapeId="0">
      <text>
        <t xml:space="preserve">
=== CORRELATION DETAILS ===
Aeronave:   Aliaca VTOL UAS EVO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69" authorId="1" shapeId="0">
      <text>
        <t xml:space="preserve">
=== CORRELATION DETAILS ===
Aeronave:   Aliaca VTOL UAS EVO
Parámetro:   Consumo
Valor imputado:   nan
Confianza:   0
Corr:   0
k:   0
Tipo Modelo:   n/a
Predictores:   
Penalizacion_k:   0
Familia:   sin filtro
Método predictivo:   Correlacion
Advertencia:   ❌ No se permite imputación sin filtro para esta celda.
Iteración imputación:   3
</t>
      </text>
    </comment>
    <comment ref="AI69" authorId="1" shapeId="0">
      <text>
        <t xml:space="preserve">
=== CORRELATION DETAILS ===
Aeronave:   Aliaca VTOL UAS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9" authorId="1" shapeId="0">
      <text>
        <t xml:space="preserve">
=== CORRELATION DETAILS ===
Aeronave:   Aliaca VTOL UAS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9" authorId="1" shapeId="0">
      <text>
        <t xml:space="preserve">
=== CORRELATION DETAILS ===
Aeronave:   Aliaca VTOL UAS EVO
Parámetro:   Precio
Valor imputado:   nan
Confianza:   0
Corr:   0
k:   0
Tipo Modelo:   n/a
Predictores:   
Penalizacion_k:   0
Familia:   sin filtro
Método predictivo:   Correlacion
Advertencia:   ❌ No se permite imputación sin filtro para esta celda.
Iteración imputación:   3
</t>
      </text>
    </comment>
    <comment ref="AL69" authorId="1" shapeId="0">
      <text>
        <t xml:space="preserve">
=== CORRELATION DETAILS ===
Aeronave:   Aliaca VTOL UAS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0" authorId="1" shapeId="0">
      <text>
        <t xml:space="preserve">
=== CORRELATION DETAILS ===
Aeronave:   Aliaca VTOL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0" authorId="1" shapeId="0">
      <text>
        <t xml:space="preserve">
=== CORRELATION DETAILS ===
Aeronave:   Aliaca VTOL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0" authorId="1" shapeId="0">
      <text>
        <t xml:space="preserve">
=== CORRELATION DETAILS ===
Aeronave:   Aliaca VTOL UAS ER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0" authorId="1" shapeId="0">
      <text>
        <t xml:space="preserve">
=== CORRELATION DETAILS ===
Aeronave:   Aliaca VTOL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0" authorId="1" shapeId="0">
      <text>
        <t xml:space="preserve">
=== CORRELATION DETAILS ===
Aeronave:   Aliaca VTOL UAS ER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0" authorId="1" shapeId="0">
      <text>
        <t xml:space="preserve">
=== CORRELATION DETAILS ===
Aeronave:   Aliaca VTOL UAS ER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0" authorId="1" shapeId="0">
      <text>
        <t xml:space="preserve">
=== CORRELATION DETAILS ===
Aeronave:   Aliaca VTOL UAS ER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0" authorId="1" shapeId="0">
      <text>
        <t xml:space="preserve">
=== CORRELATION DETAILS ===
Aeronave:   Aliaca VTOL UAS ER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0" authorId="1" shapeId="0">
      <text>
        <t xml:space="preserve">
=== CORRELATION DETAILS ===
Aeronave:   Aliaca VTOL UAS ER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70" authorId="1" shapeId="0">
      <text>
        <t xml:space="preserve">
=== CORRELATION DETAILS ===
Aeronave:   Aliaca VTOL UAS ER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0" authorId="1" shapeId="0">
      <text>
        <t xml:space="preserve">
=== CORRELATION DETAILS ===
Aeronave:   Aliaca VTOL UAS ER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0" authorId="1" shapeId="0">
      <text>
        <t xml:space="preserve">
=== CORRELATION DETAILS ===
Aeronave:   Aliaca VTOL UAS ER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0" authorId="1" shapeId="0">
      <text>
        <t xml:space="preserve">
=== CORRELATION DETAILS ===
Aeronave:   Aliaca VTOL UAS ER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0" authorId="1" shapeId="0">
      <text>
        <t xml:space="preserve">
=== CORRELATION DETAILS ===
Aeronave:   Aliaca VTOL UAS ER
Parámetro:   Cuerda
Valor imputado:   nan
Confianza:   0
Corr:   0
k:   0
Tipo Modelo:   n/a
Predictores:   
Penalizacion_k:   0
Familia:   sin filtro
Método predictivo:   Correlacion
Advertencia:   ❌ No se permite imputación sin filtro para esta celda.
Iteración imputación:   3
</t>
      </text>
    </comment>
    <comment ref="V70" authorId="1" shapeId="0">
      <text>
        <t xml:space="preserve">
=== CORRELATION DETAILS ===
Aeronave:   Aliaca VTOL UAS ER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0" authorId="1" shapeId="0">
      <text>
        <t xml:space="preserve">
=== CORRELATION DETAILS ===
Aeronave:   Aliaca VTOL UAS ER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70" authorId="1" shapeId="0">
      <text>
        <t xml:space="preserve">
=== CORRELATION DETAILS ===
Aeronave:   Aliaca VTOL UAS ER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0" authorId="1" shapeId="0">
      <text>
        <t xml:space="preserve">
=== CORRELATION DETAILS ===
Aeronave:   Aliaca VTOL UAS ER
Parámetro:   Peso frame
Valor imputado:   nan
Confianza:   0
Corr:   0
k:   0
Tipo Modelo:   n/a
Predictores:   
Penalizacion_k:   0
Familia:   sin filtro
Método predictivo:   Correlacion
Advertencia:   ❌ No se permite imputación sin filtro para esta celda.
Iteración imputación:   3
</t>
      </text>
    </comment>
    <comment ref="Z70" authorId="1" shapeId="0">
      <text>
        <t xml:space="preserve">
=== CORRELATION DETAILS ===
Aeronave:   Aliaca VTOL UAS ER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B70" authorId="1" shapeId="0">
      <text>
        <t xml:space="preserve">
=== CORRELATION DETAILS ===
Aeronave:   Aliaca VTOL UAS ER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0" authorId="1" shapeId="0">
      <text>
        <t xml:space="preserve">
=== CORRELATION DETAILS ===
Aeronave:   Aliaca VTOL UAS ER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0" authorId="1" shapeId="0">
      <text>
        <t xml:space="preserve">
=== CORRELATION DETAILS ===
Aeronave:   Aliaca VTOL UAS ER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0" authorId="1" shapeId="0">
      <text>
        <t xml:space="preserve">
=== CORRELATION DETAILS ===
Aeronave:   Aliaca VTOL UAS ER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0" authorId="1" shapeId="0">
      <text>
        <t xml:space="preserve">
=== CORRELATION DETAILS ===
Aeronave:   Aliaca VTOL UAS ER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0" authorId="1" shapeId="0">
      <text>
        <t xml:space="preserve">
=== CORRELATION DETAILS ===
Aeronave:   Aliaca VTOL UAS ER
Parámetro:   Consumo
Valor imputado:   nan
Confianza:   0
Corr:   0
k:   0
Tipo Modelo:   n/a
Predictores:   
Penalizacion_k:   0
Familia:   sin filtro
Método predictivo:   Correlacion
Advertencia:   ❌ No se permite imputación sin filtro para esta celda.
Iteración imputación:   3
</t>
      </text>
    </comment>
    <comment ref="AI70" authorId="1" shapeId="0">
      <text>
        <t xml:space="preserve">
=== CORRELATION DETAILS ===
Aeronave:   Aliaca VTOL UAS ER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0" authorId="1" shapeId="0">
      <text>
        <t xml:space="preserve">
=== CORRELATION DETAILS ===
Aeronave:   Aliaca VTOL UAS ER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0" authorId="1" shapeId="0">
      <text>
        <t xml:space="preserve">
=== CORRELATION DETAILS ===
Aeronave:   Aliaca VTOL UAS ER
Parámetro:   Precio
Valor imputado:   nan
Confianza:   0
Corr:   0
k:   0
Tipo Modelo:   n/a
Predictores:   
Penalizacion_k:   0
Familia:   sin filtro
Método predictivo:   Correlacion
Advertencia:   ❌ No se permite imputación sin filtro para esta celda.
Iteración imputación:   3
</t>
      </text>
    </comment>
    <comment ref="AL70" authorId="1" shapeId="0">
      <text>
        <t xml:space="preserve">
=== CORRELATION DETAILS ===
Aeronave:   Aliaca VTOL UAS ER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1" authorId="1" shapeId="0">
      <text>
        <t xml:space="preserve">
=== CORRELATION DETAILS ===
Aeronave:   Aliaca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1" authorId="1" shapeId="0">
      <text>
        <t xml:space="preserve">
=== CORRELATION DETAILS ===
Aeronave:   Aliaca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1" authorId="1" shapeId="0">
      <text>
        <t xml:space="preserve">=== CÁLCULO APLICADO ===
formula:   TAS_5000 = IAS / sqrt(σ_5000)
inputs:
    IAS:   18
    σ_5000:   0.862
</t>
      </text>
    </comment>
    <comment ref="E71" authorId="1" shapeId="0">
      <text>
        <t xml:space="preserve">
=== CORRELATION DETAILS ===
Aeronave:   Aliaca UAS EVO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71" authorId="1" shapeId="0">
      <text>
        <t xml:space="preserve">
=== CORRELATION DETAILS ===
Aeronave:   Aliaca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1" authorId="1" shapeId="0">
      <text>
        <t xml:space="preserve">=== IMPUTED VALUE ===
Aeronave:   Aliaca UAS EVO
Parámetro:   Área del ala
Valor imputado:   1.31
Confianza:   0.272
Método predictivo:   Correlacion
Iteración imputación:   1
variable_independiente_1:   28
=== CORRELATION DETAILS ===
Aeronave:   Aliaca UAS EVO
Parámetro:   Área del ala
Valor imputado:   1.31
Confianza:   0.272
Tipo Modelo:   poly-1
Predictores:   Velocidad máxima (m/s IAS)
Coeficientes: [0.093, -0.000793]
Peso de predictores: [1]
Aeronaves entrenamiento: [Stalker XE, Stalker VXE30 Fuel Cell, Stalker VXE30 Battery, Aerosonde Mk. 4.7 Fixed Wing, Aerosonde Mk. 4.8 Fixed wing]
k:   5
Penalizacion_k:   0.272
Corr:   1
MAPE:   0.000
R2:   1
Confianza_LOOCV:   0.252
k_LOOCV:   5
Corr_LOOCV:   0.929
MAPE_LOOCV:   1.85
R2_LOOCV:   0.981
Método predictivo:   Correlacion
Advertencia:   Advertencia: El MAPE de validación es más de 5 veces mayor que el de entrenamiento (1.85% vs 0.00%). Posible sobreajuste.; 🟢 Modelo robusto
Familia:   F2
Iteración imputación:   1
variable_independiente_1:   28
</t>
      </text>
    </comment>
    <comment ref="H71" authorId="1" shapeId="0">
      <text>
        <t xml:space="preserve">=== IMPUTED VALUE ===
Aeronave:   Aliaca UAS EVO
Parámetro:   Relación de aspecto del ala
Valor imputado:   15.2
Confianza:   0.272
Método predictivo:   Correlacion
Iteración imputación:   1
variable_independiente_1:   18
=== CORRELATION DETAILS ===
Aeronave:   Aliaca UAS EVO
Parámetro:   Relación de aspecto del ala
Valor imputado:   15.2
Confianza:   0.272
Tipo Modelo:   poly-1
Predictores:   Velocidad crucero m/s
Coeficientes: [1.21, -0.0372]
Peso de predictores: [1]
Aeronaves entrenamiento: [Stalker XE, Stalker VXE30 Fuel Cell, Stalker VXE30 Battery, Aerosonde Mk. 4.7 Fixed Wing, Aerosonde Mk. 4.8 Fixed wing]
k:   5
Penalizacion_k:   0.272
Corr:   1
MAPE:   0.000
R2:   1
Confianza_LOOCV:   0.269
k_LOOCV:   5
Corr_LOOCV:   0.989
MAPE_LOOCV:   0.275
R2_LOOCV:   0.995
Método predictivo:   Correlacion
Advertencia:   Advertencia: El MAPE de validación es más de 5 veces mayor que el de entrenamiento (0.27% vs 0.00%). Posible sobreajuste.; 🟢 Modelo robusto
Familia:   F2
Iteración imputación:   1
variable_independiente_1:   18
</t>
      </text>
    </comment>
    <comment ref="J71" authorId="1" shapeId="0">
      <text>
        <t xml:space="preserve">
=== CORRELATION DETAILS ===
Aeronave:   Aliaca UAS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1" authorId="1" shapeId="0">
      <text>
        <t xml:space="preserve">=== IMPUTED VALUE ===
Aeronave:   Aliaca UAS EVO
Parámetro:   Ancho del fuselaje
Valor imputado:   0.181
Confianza:   0.272
Método predictivo:   Correlacion
Iteración imputación:   1
variable_independiente_1:   18
=== CORRELATION DETAILS ===
Aeronave:   Aliaca UAS EVO
Parámetro:   Ancho del fuselaje
Valor imputado:   0.181
Confianza:   0.272
Tipo Modelo:   poly-1
Predictores:   Velocidad crucero m/s
Coeficientes: [-0.1, 0.00265]
Peso de predictores: [1]
Aeronaves entrenamiento: [Stalker XE, Stalker VXE30 Fuel Cell, Stalker VXE30 Battery, Aerosonde Mk. 4.7 Fixed Wing, Aerosonde Mk. 4.8 Fixed wing]
k:   5
Penalizacion_k:   0.272
Corr:   1
MAPE:   0.000
R2:   1
Confianza_LOOCV:   0.253
k_LOOCV:   5
Corr_LOOCV:   0.93
MAPE_LOOCV:   1.52
R2_LOOCV:   0.961
Método predictivo:   Correlacion
Advertencia:   Advertencia: El MAPE de validación es más de 5 veces mayor que el de entrenamiento (1.52% vs 0.00%). Posible sobreajuste.; 🟢 Modelo robusto
Familia:   F2
Iteración imputación:   1
variable_independiente_1:   18
</t>
      </text>
    </comment>
    <comment ref="L71" authorId="2" shapeId="0">
      <text>
        <t>[Verificación] MTOW ≈ W0 + Payload
[Fórmula] Δrel = |A − B| / max(|A|, |B|, 1e−12) con A=MTOW, B=W0+Payload
[Normalización] max(|A|,|B|) hace el error relativo, simétrico y estable (evita división por 0).
[Sustitución] |16 − (14.5 + 2)| / max(|16|, |16.5|, 1e−12)
[Resultado] Δrel=0.030303 (3.03%); severidad: ajuste</t>
      </text>
    </comment>
    <comment ref="M71" authorId="1" shapeId="0">
      <text>
        <t xml:space="preserve">=== CÁLCULO APLICADO ===
formula:   R[km] = h*3600*V/1000
inputs:
    Autonomía[h]:   3
    Velocidad[m/s]:   18
</t>
      </text>
    </comment>
    <comment ref="P71" authorId="1" shapeId="0">
      <text>
        <t xml:space="preserve">
=== CORRELATION DETAILS ===
Aeronave:   Aliaca UAS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1" authorId="1" shapeId="0">
      <text>
        <t xml:space="preserve">
=== CORRELATION DETAILS ===
Aeronave:   Aliaca UAS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1" authorId="1" shapeId="0">
      <text>
        <t xml:space="preserve">
=== CORRELATION DETAILS ===
Aeronave:   Aliaca UAS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1" authorId="1" shapeId="0">
      <text>
        <t xml:space="preserve">=== IMPUTED VALUE ===
Aeronave:   Aliaca UAS EVO
Parámetro:   Cuerda
Valor imputado:   0.239
Confianza:   0.272
Método predictivo:   Correlacion
Iteración imputación:   1
variable_independiente_1:   2.1
=== CORRELATION DETAILS ===
Aeronave:   Aliaca UAS EVO
Parámetro:   Cuerda
Valor imputado:   0.239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F2
Iteración imputación:   1
variable_independiente_1:   2.1
</t>
      </text>
    </comment>
    <comment ref="U71" authorId="2" shapeId="0">
      <text>
        <t>[Verificación] MTOW ≈ W0 + Payload
[Fórmula] Δrel = |A − B| / max(|A|, |B|, 1e−12) con A=MTOW, B=W0+Payload
[Normalización] max(|A|,|B|) hace el error relativo, simétrico y estable (evita división por 0).
[Sustitución] |16 − (14.5 + 2)| / max(|16|, |16.5|, 1e−12)
[Resultado] Δrel=0.030303 (3.03%); severidad: ajuste</t>
      </text>
    </comment>
    <comment ref="V71" authorId="1" shapeId="0">
      <text>
        <t xml:space="preserve">
=== CORRELATION DETAILS ===
Aeronave:   Aliaca UAS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1" authorId="1" shapeId="0">
      <text>
        <t xml:space="preserve">
=== CORRELATION DETAILS ===
Aeronave:   Aliaca UAS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1" authorId="1" shapeId="0">
      <text>
        <t xml:space="preserve">
=== CORRELATION DETAILS ===
Aeronave:   Aliaca UAS EVO
Parámetro:   Peso frame
Valor imputado:   nan
Confianza:   0
Corr:   0
k:   0
Tipo Modelo:   n/a
Predictores:   
Penalizacion_k:   0
Familia:   sin filtro
Método predictivo:   Correlacion
Advertencia:   ❌ No se permite imputación sin filtro para esta celda.
Iteración imputación:   3
</t>
      </text>
    </comment>
    <comment ref="Z71" authorId="1" shapeId="0">
      <text>
        <t xml:space="preserve">
=== CORRELATION DETAILS ===
Aeronave:   Aliaca UAS EVO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1" authorId="2" shapeId="0">
      <text>
        <t>[Verificación] MTOW ≈ W0 + Payload
[Fórmula] Δrel = |A − B| / max(|A|, |B|, 1e−12) con A=MTOW, B=W0+Payload
[Normalización] max(|A|,|B|) hace el error relativo, simétrico y estable (evita división por 0).
[Sustitución] |16 − (14.5 + 2)| / max(|16|, |16.5|, 1e−12)
[Resultado] Δrel=0.030303 (3.03%); severidad: ajuste</t>
      </text>
    </comment>
    <comment ref="AB71" authorId="1" shapeId="0">
      <text>
        <t xml:space="preserve">
=== CORRELATION DETAILS ===
Aeronave:   Aliaca UAS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1" authorId="1" shapeId="0">
      <text>
        <t xml:space="preserve">
=== CORRELATION DETAILS ===
Aeronave:   Aliaca UAS EVO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1" authorId="1" shapeId="0">
      <text>
        <t xml:space="preserve">
=== CORRELATION DETAILS ===
Aeronave:   Aliaca UAS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1" authorId="1" shapeId="0">
      <text>
        <t xml:space="preserve">
=== CORRELATION DETAILS ===
Aeronave:   Aliaca UAS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1" authorId="1" shapeId="0">
      <text>
        <t xml:space="preserve">
=== CORRELATION DETAILS ===
Aeronave:   Aliaca UAS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1" authorId="1" shapeId="0">
      <text>
        <t xml:space="preserve">
=== CORRELATION DETAILS ===
Aeronave:   Aliaca UAS EVO
Parámetro:   Consumo
Valor imputado:   nan
Confianza:   0
Corr:   0
k:   0
Tipo Modelo:   n/a
Predictores:   
Penalizacion_k:   0
Familia:   sin filtro
Método predictivo:   Correlacion
Advertencia:   ❌ No se permite imputación sin filtro para esta celda.
Iteración imputación:   3
</t>
      </text>
    </comment>
    <comment ref="AI71" authorId="1" shapeId="0">
      <text>
        <t xml:space="preserve">
=== CORRELATION DETAILS ===
Aeronave:   Aliaca UAS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1" authorId="1" shapeId="0">
      <text>
        <t xml:space="preserve">
=== CORRELATION DETAILS ===
Aeronave:   Aliaca UAS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1" authorId="1" shapeId="0">
      <text>
        <t xml:space="preserve">
=== CORRELATION DETAILS ===
Aeronave:   Aliaca UAS EVO
Parámetro:   Precio
Valor imputado:   nan
Confianza:   0
Corr:   0
k:   0
Tipo Modelo:   n/a
Predictores:   
Penalizacion_k:   0
Familia:   sin filtro
Método predictivo:   Correlacion
Advertencia:   ❌ No se permite imputación sin filtro para esta celda.
Iteración imputación:   3
</t>
      </text>
    </comment>
    <comment ref="AL71" authorId="1" shapeId="0">
      <text>
        <t xml:space="preserve">
=== CORRELATION DETAILS ===
Aeronave:   Aliaca UAS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2" authorId="1" shapeId="0">
      <text>
        <t xml:space="preserve">
=== CORRELATION DETAILS ===
Aeronave:   Aliaca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2" authorId="1" shapeId="0">
      <text>
        <t xml:space="preserve">
=== CORRELATION DETAILS ===
Aeronave:   Aliaca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2" authorId="1" shapeId="0">
      <text>
        <t xml:space="preserve">=== CÁLCULO APLICADO ===
formula:   TAS_5000 = IAS / sqrt(σ_5000)
inputs:
    IAS:   18
    σ_5000:   0.862
</t>
      </text>
    </comment>
    <comment ref="E72" authorId="1" shapeId="0">
      <text>
        <t xml:space="preserve">
=== CORRELATION DETAILS ===
Aeronave:   Aliaca UAS ER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72" authorId="1" shapeId="0">
      <text>
        <t xml:space="preserve">
=== CORRELATION DETAILS ===
Aeronave:   Aliaca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2" authorId="1" shapeId="0">
      <text>
        <t xml:space="preserve">=== IMPUTED VALUE ===
Aeronave:   Aliaca UAS ER
Parámetro:   Área del ala
Valor imputado:   1.16
Confianza:   0.272
Método predictivo:   Correlacion
Iteración imputación:   1
variable_independiente_1:   100
=== CORRELATION DETAILS ===
Aeronave:   Aliaca UAS ER
Parámetro:   Área del ala
Valor imputado:   1.16
Confianza:   0.272
Tipo Modelo:   poly-1
Predictores:   Rango de comunicación
Coeficientes: [0.00161, 0.000]
Peso de predictores: [1]
Aeronaves entrenamiento: [Stalker XE, Stalker VXE30 Fuel Cell, Stalker VXE30 Battery, Aerosonde Mk. 4.7 Fixed Wing, Aerosonde Mk. 4.8 Fixed wing]
k:   5
Penalizacion_k:   0.272
Corr:   1
MAPE:   0
R2:   1
Confianza_LOOCV:   0.262
k_LOOCV:   5
Corr_LOOCV:   0.962
MAPE_LOOCV:   1.05
R2_LOOCV:   0.994
Método predictivo:   Correlacion
Advertencia:   Advertencia: El MAPE de validación es más de 5 veces mayor que el de entrenamiento (1.05% vs 0.00%). Posible sobreajuste.; 🟢 Modelo robusto
Familia:   F2
Iteración imputación:   1
variable_independiente_1:   100
</t>
      </text>
    </comment>
    <comment ref="H72" authorId="1" shapeId="0">
      <text>
        <t xml:space="preserve">=== IMPUTED VALUE ===
Aeronave:   Aliaca UAS ER
Parámetro:   Relación de aspecto del ala
Valor imputado:   15.2
Confianza:   0.272
Método predictivo:   Correlacion
Iteración imputación:   1
variable_independiente_1:   18
=== CORRELATION DETAILS ===
Aeronave:   Aliaca UAS ER
Parámetro:   Relación de aspecto del ala
Valor imputado:   15.2
Confianza:   0.272
Tipo Modelo:   poly-1
Predictores:   Velocidad crucero m/s
Coeficientes: [1.21, -0.0372]
Peso de predictores: [1]
Aeronaves entrenamiento: [Stalker XE, Stalker VXE30 Fuel Cell, Stalker VXE30 Battery, Aerosonde Mk. 4.7 Fixed Wing, Aerosonde Mk. 4.8 Fixed wing]
k:   5
Penalizacion_k:   0.272
Corr:   1
MAPE:   0.000
R2:   1
Confianza_LOOCV:   0.269
k_LOOCV:   5
Corr_LOOCV:   0.989
MAPE_LOOCV:   0.275
R2_LOOCV:   0.995
Método predictivo:   Correlacion
Advertencia:   Advertencia: El MAPE de validación es más de 5 veces mayor que el de entrenamiento (0.27% vs 0.00%). Posible sobreajuste.; 🟢 Modelo robusto
Familia:   F2
Iteración imputación:   1
variable_independiente_1:   18
</t>
      </text>
    </comment>
    <comment ref="J72" authorId="1" shapeId="0">
      <text>
        <t xml:space="preserve">
=== CORRELATION DETAILS ===
Aeronave:   Aliaca UAS ER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2" authorId="1" shapeId="0">
      <text>
        <t xml:space="preserve">=== IMPUTED VALUE ===
Aeronave:   Aliaca UAS ER
Parámetro:   Ancho del fuselaje
Valor imputado:   0.181
Confianza:   0.272
Método predictivo:   Correlacion
Iteración imputación:   1
variable_independiente_1:   18
=== CORRELATION DETAILS ===
Aeronave:   Aliaca UAS ER
Parámetro:   Ancho del fuselaje
Valor imputado:   0.181
Confianza:   0.272
Tipo Modelo:   poly-1
Predictores:   Velocidad crucero m/s
Coeficientes: [-0.1, 0.00265]
Peso de predictores: [1]
Aeronaves entrenamiento: [Stalker XE, Stalker VXE30 Fuel Cell, Stalker VXE30 Battery, Aerosonde Mk. 4.7 Fixed Wing, Aerosonde Mk. 4.8 Fixed wing]
k:   5
Penalizacion_k:   0.272
Corr:   1
MAPE:   0.000
R2:   1
Confianza_LOOCV:   0.253
k_LOOCV:   5
Corr_LOOCV:   0.93
MAPE_LOOCV:   1.52
R2_LOOCV:   0.961
Método predictivo:   Correlacion
Advertencia:   Advertencia: El MAPE de validación es más de 5 veces mayor que el de entrenamiento (1.52% vs 0.00%). Posible sobreajuste.; 🟢 Modelo robusto
Familia:   F2
Iteración imputación:   1
variable_independiente_1:   18
</t>
      </text>
    </comment>
    <comment ref="M72" authorId="1" shapeId="0">
      <text>
        <t xml:space="preserve">=== CÁLCULO APLICADO ===
formula:   R[km] = h*3600*V/1000
inputs:
    Autonomía[h]:   6
    Velocidad[m/s]:   18
</t>
      </text>
    </comment>
    <comment ref="O72" authorId="1" shapeId="0">
      <text>
        <t xml:space="preserve">
=== CORRELATION DETAILS ===
Aeronave:   Aliaca UAS ER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2" authorId="1" shapeId="0">
      <text>
        <t xml:space="preserve">
=== CORRELATION DETAILS ===
Aeronave:   Aliaca UAS ER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2" authorId="1" shapeId="0">
      <text>
        <t xml:space="preserve">
=== CORRELATION DETAILS ===
Aeronave:   Aliaca UAS ER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2" authorId="1" shapeId="0">
      <text>
        <t xml:space="preserve">
=== CORRELATION DETAILS ===
Aeronave:   Aliaca UAS ER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2" authorId="1" shapeId="0">
      <text>
        <t xml:space="preserve">=== IMPUTED VALUE ===
Aeronave:   Aliaca UAS ER
Parámetro:   Cuerda
Valor imputado:   0.239
Confianza:   0.272
Método predictivo:   Correlacion
Iteración imputación:   1
variable_independiente_1:   2.1
=== CORRELATION DETAILS ===
Aeronave:   Aliaca UAS ER
Parámetro:   Cuerda
Valor imputado:   0.239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F2
Iteración imputación:   1
variable_independiente_1:   2.1
</t>
      </text>
    </comment>
    <comment ref="V72" authorId="1" shapeId="0">
      <text>
        <t xml:space="preserve">
=== CORRELATION DETAILS ===
Aeronave:   Aliaca UAS ER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2" authorId="1" shapeId="0">
      <text>
        <t xml:space="preserve">
=== CORRELATION DETAILS ===
Aeronave:   Aliaca UAS ER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2" authorId="1" shapeId="0">
      <text>
        <t xml:space="preserve">
=== CORRELATION DETAILS ===
Aeronave:   Aliaca UAS ER
Parámetro:   Peso frame
Valor imputado:   nan
Confianza:   0
Corr:   0
k:   0
Tipo Modelo:   n/a
Predictores:   
Penalizacion_k:   0
Familia:   sin filtro
Método predictivo:   Correlacion
Advertencia:   ❌ No se permite imputación sin filtro para esta celda.
Iteración imputación:   3
</t>
      </text>
    </comment>
    <comment ref="Z72" authorId="1" shapeId="0">
      <text>
        <t xml:space="preserve">
=== CORRELATION DETAILS ===
Aeronave:   Aliaca UAS ER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72" authorId="1" shapeId="0">
      <text>
        <t xml:space="preserve">
=== CORRELATION DETAILS ===
Aeronave:   Aliaca UAS ER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2" authorId="1" shapeId="0">
      <text>
        <t xml:space="preserve">
=== CORRELATION DETAILS ===
Aeronave:   Aliaca UAS ER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2" authorId="1" shapeId="0">
      <text>
        <t xml:space="preserve">
=== CORRELATION DETAILS ===
Aeronave:   Aliaca UAS ER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2" authorId="1" shapeId="0">
      <text>
        <t xml:space="preserve">
=== CORRELATION DETAILS ===
Aeronave:   Aliaca UAS ER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2" authorId="1" shapeId="0">
      <text>
        <t xml:space="preserve">
=== CORRELATION DETAILS ===
Aeronave:   Aliaca UAS ER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2" authorId="1" shapeId="0">
      <text>
        <t xml:space="preserve">
=== CORRELATION DETAILS ===
Aeronave:   Aliaca UAS ER
Parámetro:   Consumo
Valor imputado:   nan
Confianza:   0
Corr:   0
k:   0
Tipo Modelo:   n/a
Predictores:   
Penalizacion_k:   0
Familia:   sin filtro
Método predictivo:   Correlacion
Advertencia:   ❌ No se permite imputación sin filtro para esta celda.
Iteración imputación:   3
</t>
      </text>
    </comment>
    <comment ref="AI72" authorId="1" shapeId="0">
      <text>
        <t xml:space="preserve">
=== CORRELATION DETAILS ===
Aeronave:   Aliaca UAS ER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2" authorId="1" shapeId="0">
      <text>
        <t xml:space="preserve">
=== CORRELATION DETAILS ===
Aeronave:   Aliaca UAS ER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2" authorId="1" shapeId="0">
      <text>
        <t xml:space="preserve">
=== CORRELATION DETAILS ===
Aeronave:   Aliaca UAS ER
Parámetro:   Precio
Valor imputado:   nan
Confianza:   0
Corr:   0
k:   0
Tipo Modelo:   n/a
Predictores:   
Penalizacion_k:   0
Familia:   sin filtro
Método predictivo:   Correlacion
Advertencia:   ❌ No se permite imputación sin filtro para esta celda.
Iteración imputación:   3
</t>
      </text>
    </comment>
    <comment ref="AL72" authorId="1" shapeId="0">
      <text>
        <t xml:space="preserve">
=== CORRELATION DETAILS ===
Aeronave:   Aliaca UAS ER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3" authorId="1" shapeId="0">
      <text>
        <t xml:space="preserve">
=== CORRELATION DETAILS ===
Aeronave:   Shield AI V-BAT 128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3" authorId="1" shapeId="0">
      <text>
        <t xml:space="preserve">
=== CORRELATION DETAILS ===
Aeronave:   Shield AI V-BAT 128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3" authorId="1" shapeId="0">
      <text>
        <t xml:space="preserve">=== CÁLCULO APLICADO ===
formula:   TAS_5000 = IAS / sqrt(σ_5000)
inputs:
    IAS:   13.1
    σ_5000:   0.862
</t>
      </text>
    </comment>
    <comment ref="F73" authorId="1" shapeId="0">
      <text>
        <t xml:space="preserve">
=== CORRELATION DETAILS ===
Aeronave:   Shield AI V-BAT 128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3" authorId="1" shapeId="0">
      <text>
        <t xml:space="preserve">
=== CORRELATION DETAILS ===
Aeronave:   Shield AI V-BAT 128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3" authorId="1" shapeId="0">
      <text>
        <t xml:space="preserve">
=== CORRELATION DETAILS ===
Aeronave:   Shield AI V-BAT 128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3" authorId="1" shapeId="0">
      <text>
        <t xml:space="preserve">
=== CORRELATION DETAILS ===
Aeronave:   Shield AI V-BAT 128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3" authorId="1" shapeId="0">
      <text>
        <t xml:space="preserve">
=== CORRELATION DETAILS ===
Aeronave:   Shield AI V-BAT 128
Parámetro:   Ancho del fuselaje
Valor imputado:   nan
Confianza:   0
Corr:   0
k:   0
Tipo Modelo:   n/a
Predictores:   
Penalizacion_k:   0
Familia:   F2
Método predictivo:   Correlacion
Advertencia:   ❌ Todos los modelos descartados por LOOCV (MAPE &gt; 12.5% o R2 &lt;= 0.45)
Iteración imputación:   3
</t>
      </text>
    </comment>
    <comment ref="M73" authorId="1" shapeId="0">
      <text>
        <t xml:space="preserve">=== CÁLCULO APLICADO ===
formula:   R[km] = h*3600*V/1000
inputs:
    Autonomía[h]:   13
    Velocidad[m/s]:   13.1
</t>
      </text>
    </comment>
    <comment ref="P73" authorId="1" shapeId="0">
      <text>
        <t xml:space="preserve">
=== CORRELATION DETAILS ===
Aeronave:   Shield AI V-BAT 128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3" authorId="1" shapeId="0">
      <text>
        <t xml:space="preserve">
=== CORRELATION DETAILS ===
Aeronave:   Shield AI V-BAT 128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3" authorId="1" shapeId="0">
      <text>
        <t xml:space="preserve">
=== CORRELATION DETAILS ===
Aeronave:   Shield AI V-BAT 128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3" authorId="1" shapeId="0">
      <text>
        <t xml:space="preserve">
=== CORRELATION DETAILS ===
Aeronave:   Shield AI V-BAT 128
Parámetro:   Cuerda
Valor imputado:   nan
Confianza:   0
Corr:   0
k:   0
Tipo Modelo:   n/a
Predictores:   
Penalizacion_k:   0
Familia:   sin filtro
Método predictivo:   Correlacion
Advertencia:   ❌ No se permite imputación sin filtro para esta celda.
Iteración imputación:   3
</t>
      </text>
    </comment>
    <comment ref="V73" authorId="1" shapeId="0">
      <text>
        <t xml:space="preserve">
=== CORRELATION DETAILS ===
Aeronave:   Shield AI V-BAT 128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3" authorId="1" shapeId="0">
      <text>
        <t xml:space="preserve">
=== CORRELATION DETAILS ===
Aeronave:   Shield AI V-BAT 128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3" authorId="1" shapeId="0">
      <text>
        <t xml:space="preserve">
=== CORRELATION DETAILS ===
Aeronave:   Shield AI V-BAT 128
Parámetro:   Peso frame
Valor imputado:   nan
Confianza:   0
Corr:   0
k:   0
Tipo Modelo:   n/a
Predictores:   
Penalizacion_k:   0
Familia:   sin filtro
Método predictivo:   Correlacion
Advertencia:   ❌ No se permite imputación sin filtro para esta celda.
Iteración imputación:   3
</t>
      </text>
    </comment>
    <comment ref="Z73" authorId="1" shapeId="0">
      <text>
        <t xml:space="preserve">
=== CORRELATION DETAILS ===
Aeronave:   Shield AI V-BAT 128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73" authorId="1" shapeId="0">
      <text>
        <t xml:space="preserve">=== CÁLCULO APLICADO ===
formula:   W0 = MTOW - Payload
inputs:
    MTOW:   73
    Payload:   11.3
</t>
      </text>
    </comment>
    <comment ref="AB73" authorId="1" shapeId="0">
      <text>
        <t xml:space="preserve">
=== CORRELATION DETAILS ===
Aeronave:   Shield AI V-BAT 128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3" authorId="1" shapeId="0">
      <text>
        <t xml:space="preserve">
=== CORRELATION DETAILS ===
Aeronave:   Shield AI V-BAT 128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3" authorId="1" shapeId="0">
      <text>
        <t xml:space="preserve">
=== CORRELATION DETAILS ===
Aeronave:   Shield AI V-BAT 128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3" authorId="1" shapeId="0">
      <text>
        <t xml:space="preserve">
=== CORRELATION DETAILS ===
Aeronave:   Shield AI V-BAT 128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3" authorId="1" shapeId="0">
      <text>
        <t xml:space="preserve">
=== CORRELATION DETAILS ===
Aeronave:   Shield AI V-BAT 128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73" authorId="1" shapeId="0">
      <text>
        <t xml:space="preserve">
=== CORRELATION DETAILS ===
Aeronave:   Shield AI V-BAT 128
Parámetro:   Consumo
Valor imputado:   nan
Confianza:   0
Corr:   0
k:   0
Tipo Modelo:   n/a
Predictores:   
Penalizacion_k:   0
Familia:   sin filtro
Método predictivo:   Correlacion
Advertencia:   ❌ No se permite imputación sin filtro para esta celda.
Iteración imputación:   3
</t>
      </text>
    </comment>
    <comment ref="AI73" authorId="1" shapeId="0">
      <text>
        <t xml:space="preserve">
=== CORRELATION DETAILS ===
Aeronave:   Shield AI V-BAT 128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73" authorId="1" shapeId="0">
      <text>
        <t xml:space="preserve">
=== CORRELATION DETAILS ===
Aeronave:   Shield AI V-BAT 128
Parámetro:   Precio
Valor imputado:   nan
Confianza:   0
Corr:   0
k:   0
Tipo Modelo:   n/a
Predictores:   
Penalizacion_k:   0
Familia:   sin filtro
Método predictivo:   Correlacion
Advertencia:   ❌ No se permite imputación sin filtro para esta celda.
Iteración imputación:   3
</t>
      </text>
    </comment>
    <comment ref="AL73" authorId="1" shapeId="0">
      <text>
        <t xml:space="preserve">
=== CORRELATION DETAILS ===
Aeronave:   Shield AI V-BAT 128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4" authorId="1" shapeId="0">
      <text>
        <t xml:space="preserve">
=== CORRELATION DETAILS ===
Aeronave:   AeroVironment JUMP 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4" authorId="1" shapeId="0">
      <text>
        <t xml:space="preserve">
=== CORRELATION DETAILS ===
Aeronave:   AeroVironment JUMP 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4" authorId="1" shapeId="0">
      <text>
        <t xml:space="preserve">=== CÁLCULO APLICADO ===
formula:   TAS_5000 = IAS / sqrt(σ_5000)
inputs:
    IAS:   25.8
    σ_5000:   0.862
</t>
      </text>
    </comment>
    <comment ref="F74" authorId="1" shapeId="0">
      <text>
        <t xml:space="preserve">
=== CORRELATION DETAILS ===
Aeronave:   AeroVironment JUMP 20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4" authorId="1" shapeId="0">
      <text>
        <t xml:space="preserve">=== IMPUTED VALUE ===
Aeronave:   AeroVironment JUMP 20
Parámetro:   Área del ala
Valor imputado:   2.56
Confianza:   0.344
Método predictivo:   Correlacion
Iteración imputación:   1
variable_independiente_1:   97.5
=== CORRELATION DETAILS ===
Aeronave:   AeroVironment JUMP 20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text>
    </comment>
    <comment ref="H74" authorId="1" shapeId="0">
      <text>
        <t xml:space="preserve">
=== CORRELATION DETAILS ===
Aeronave:   AeroVironment JUMP 20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4" authorId="1" shapeId="0">
      <text>
        <t xml:space="preserve">
=== CORRELATION DETAILS ===
Aeronave:   AeroVironment JUMP 20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4" authorId="1" shapeId="0">
      <text>
        <t xml:space="preserve">
=== CORRELATION DETAILS ===
Aeronave:   AeroVironment JUMP 20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4" authorId="1" shapeId="0">
      <text>
        <t xml:space="preserve">=== CÁLCULO APLICADO ===
formula:   R[km] = h*3600*V/1000
inputs:
    Autonomía[h]:   13
    Velocidad[m/s]:   25.8
</t>
      </text>
    </comment>
    <comment ref="O74" authorId="1" shapeId="0">
      <text>
        <t xml:space="preserve">=== IMPUTED VALUE ===
Aeronave:   AeroVironment JUMP 20
Parámetro:   Velocidad máxima (m/s IAS)
Valor imputado:   41.4
Confianza:   0.623
Método predictivo:   Correlacion
Iteración imputación:   1
variable_independiente_1:   97.5
=== CORRELATION DETAILS ===
Aeronave:   AeroVironment JUMP 20
Parámetro:   Velocidad máxima (m/s IAS)
Valor imputado:   41.4
Confianza:   0.623
Tipo Modelo:   poly-1
Predictores:   Peso máximo al despegue (MTOW)
Coeficientes: [-0.0192, 0.00128]
Peso de predictores: [1]
Aeronaves entrenamiento: [Aerosonde Mk. 4.7 VTOL, AAI Aerosonde, V32, V35, V39, Volitation VT370, Skyeye 2930 VTOL, Skyeye 3600 VTOL, Skyeye 5000 VTOL, Skyeye 5000 VTOL octo, Volitation VT510, Ascend, Transition, Reach]
k:   14
Penalizacion_k:   0.917
Corr:   0.679
MAPE:   5.17
R2:   0.703
Confianza_LOOCV:   0.468
k_LOOCV:   14
Corr_LOOCV:   0.511
MAPE_LOOCV:   6.66
R2_LOOCV:   0.466
Método predictivo:   Correlacion
Advertencia:   🟡 Modelo no robusto
Familia:   F1
Iteración imputación:   1
variable_independiente_1:   97.5
</t>
      </text>
    </comment>
    <comment ref="P74" authorId="1" shapeId="0">
      <text>
        <t xml:space="preserve">
=== CORRELATION DETAILS ===
Aeronave:   AeroVironment JUMP 20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4" authorId="1" shapeId="0">
      <text>
        <t xml:space="preserve">
=== CORRELATION DETAILS ===
Aeronave:   AeroVironment JUMP 20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4" authorId="1" shapeId="0">
      <text>
        <t xml:space="preserve">
=== CORRELATION DETAILS ===
Aeronave:   AeroVironment JUMP 20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4" authorId="1" shapeId="0">
      <text>
        <t xml:space="preserve">
=== CORRELATION DETAILS ===
Aeronave:   AeroVironment JUMP 20
Parámetro:   Cuerda
Valor imputado:   nan
Confianza:   0
Corr:   0
k:   0
Tipo Modelo:   n/a
Predictores:   
Penalizacion_k:   0
Familia:   sin filtro
Método predictivo:   Correlacion
Advertencia:   ❌ No se permite imputación sin filtro para esta celda.
Iteración imputación:   3
</t>
      </text>
    </comment>
    <comment ref="V74" authorId="1" shapeId="0">
      <text>
        <t xml:space="preserve">
=== CORRELATION DETAILS ===
Aeronave:   AeroVironment JUMP 20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4" authorId="1" shapeId="0">
      <text>
        <t xml:space="preserve">
=== CORRELATION DETAILS ===
Aeronave:   AeroVironment JUMP 20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4" authorId="1" shapeId="0">
      <text>
        <t xml:space="preserve">
=== CORRELATION DETAILS ===
Aeronave:   AeroVironment JUMP 20
Parámetro:   Peso frame
Valor imputado:   nan
Confianza:   0
Corr:   0
k:   0
Tipo Modelo:   n/a
Predictores:   
Penalizacion_k:   0
Familia:   sin filtro
Método predictivo:   Correlacion
Advertencia:   ❌ No se permite imputación sin filtro para esta celda.
Iteración imputación:   3
</t>
      </text>
    </comment>
    <comment ref="Z74" authorId="1" shapeId="0">
      <text>
        <t xml:space="preserve">
=== CORRELATION DETAILS ===
Aeronave:   AeroVironment JUMP 20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4" authorId="1" shapeId="0">
      <text>
        <t xml:space="preserve">=== CÁLCULO APLICADO ===
formula:   W0 = MTOW - Payload
inputs:
    MTOW:   97.5
    Payload:   13
</t>
      </text>
    </comment>
    <comment ref="AB74" authorId="1" shapeId="0">
      <text>
        <t xml:space="preserve">
=== CORRELATION DETAILS ===
Aeronave:   AeroVironment JUMP 20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4" authorId="1" shapeId="0">
      <text>
        <t xml:space="preserve">
=== CORRELATION DETAILS ===
Aeronave:   AeroVironment JUMP 20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4" authorId="1" shapeId="0">
      <text>
        <t xml:space="preserve">
=== CORRELATION DETAILS ===
Aeronave:   AeroVironment JUMP 20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4" authorId="1" shapeId="0">
      <text>
        <t xml:space="preserve">
=== CORRELATION DETAILS ===
Aeronave:   AeroVironment JUMP 20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4" authorId="1" shapeId="0">
      <text>
        <t xml:space="preserve">
=== CORRELATION DETAILS ===
Aeronave:   AeroVironment JUMP 20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74" authorId="1" shapeId="0">
      <text>
        <t xml:space="preserve">
=== CORRELATION DETAILS ===
Aeronave:   AeroVironment JUMP 20
Parámetro:   Consumo
Valor imputado:   nan
Confianza:   0
Corr:   0
k:   0
Tipo Modelo:   n/a
Predictores:   
Penalizacion_k:   0
Familia:   sin filtro
Método predictivo:   Correlacion
Advertencia:   ❌ No se permite imputación sin filtro para esta celda.
Iteración imputación:   3
</t>
      </text>
    </comment>
    <comment ref="AI74" authorId="1" shapeId="0">
      <text>
        <t xml:space="preserve">
=== CORRELATION DETAILS ===
Aeronave:   AeroVironment JUMP 20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4" authorId="1" shapeId="0">
      <text>
        <t xml:space="preserve">
=== CORRELATION DETAILS ===
Aeronave:   AeroVironment JUMP 20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4" authorId="1" shapeId="0">
      <text>
        <t xml:space="preserve">
=== CORRELATION DETAILS ===
Aeronave:   AeroVironment JUMP 20
Parámetro:   Precio
Valor imputado:   nan
Confianza:   0
Corr:   0
k:   0
Tipo Modelo:   n/a
Predictores:   
Penalizacion_k:   0
Familia:   sin filtro
Método predictivo:   Correlacion
Advertencia:   ❌ No se permite imputación sin filtro para esta celda.
Iteración imputación:   3
</t>
      </text>
    </comment>
    <comment ref="AL74" authorId="1" shapeId="0">
      <text>
        <t xml:space="preserve">
=== CORRELATION DETAILS ===
Aeronave:   AeroVironment JUMP 20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5" authorId="1" shapeId="0">
      <text>
        <t xml:space="preserve">
=== CORRELATION DETAILS ===
Aeronave:   AeroVironment JUMP 20-X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5" authorId="1" shapeId="0">
      <text>
        <t xml:space="preserve">
=== CORRELATION DETAILS ===
Aeronave:   AeroVironment JUMP 20-X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5" authorId="1" shapeId="0">
      <text>
        <t xml:space="preserve">=== CÁLCULO APLICADO ===
formula:   TAS_5000 = IAS / sqrt(σ_5000)
inputs:
    IAS:   25.8
    σ_5000:   0.862
</t>
      </text>
    </comment>
    <comment ref="F75" authorId="1" shapeId="0">
      <text>
        <t xml:space="preserve">
=== CORRELATION DETAILS ===
Aeronave:   AeroVironment JUMP 20-X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5" authorId="1" shapeId="0">
      <text>
        <t xml:space="preserve">=== IMPUTED VALUE ===
Aeronave:   AeroVironment JUMP 20-X
Parámetro:   Área del ala
Valor imputado:   2.56
Confianza:   0.344
Método predictivo:   Correlacion
Iteración imputación:   1
variable_independiente_1:   97.5
=== CORRELATION DETAILS ===
Aeronave:   AeroVironment JUMP 20-X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text>
    </comment>
    <comment ref="H75" authorId="1" shapeId="0">
      <text>
        <t xml:space="preserve">
=== CORRELATION DETAILS ===
Aeronave:   AeroVironment JUMP 20-X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5" authorId="1" shapeId="0">
      <text>
        <t xml:space="preserve">
=== CORRELATION DETAILS ===
Aeronave:   AeroVironment JUMP 20-X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5" authorId="1" shapeId="0">
      <text>
        <t xml:space="preserve">
=== CORRELATION DETAILS ===
Aeronave:   AeroVironment JUMP 20-X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5" authorId="1" shapeId="0">
      <text>
        <t xml:space="preserve">=== CÁLCULO APLICADO ===
formula:   R[km] = h*3600*V/1000
inputs:
    Autonomía[h]:   13
    Velocidad[m/s]:   25.8
</t>
      </text>
    </comment>
    <comment ref="O75" authorId="1" shapeId="0">
      <text>
        <t xml:space="preserve">=== IMPUTED VALUE ===
Aeronave:   AeroVironment JUMP 20-X
Parámetro:   Velocidad máxima (m/s IAS)
Valor imputado:   41.4
Confianza:   0.623
Método predictivo:   Correlacion
Iteración imputación:   1
variable_independiente_1:   97.5
=== CORRELATION DETAILS ===
Aeronave:   AeroVironment JUMP 20-X
Parámetro:   Velocidad máxima (m/s IAS)
Valor imputado:   41.4
Confianza:   0.623
Tipo Modelo:   poly-1
Predictores:   Peso máximo al despegue (MTOW)
Coeficientes: [-0.0192, 0.00128]
Peso de predictores: [1]
Aeronaves entrenamiento: [Aerosonde Mk. 4.7 VTOL, AAI Aerosonde, V32, V35, V39, Volitation VT370, Skyeye 2930 VTOL, Skyeye 3600 VTOL, Skyeye 5000 VTOL, Skyeye 5000 VTOL octo, Volitation VT510, Ascend, Transition, Reach]
k:   14
Penalizacion_k:   0.917
Corr:   0.679
MAPE:   5.17
R2:   0.703
Confianza_LOOCV:   0.468
k_LOOCV:   14
Corr_LOOCV:   0.511
MAPE_LOOCV:   6.66
R2_LOOCV:   0.466
Método predictivo:   Correlacion
Advertencia:   🟡 Modelo no robusto
Familia:   F1
Iteración imputación:   1
variable_independiente_1:   97.5
</t>
      </text>
    </comment>
    <comment ref="P75" authorId="1" shapeId="0">
      <text>
        <t xml:space="preserve">
=== CORRELATION DETAILS ===
Aeronave:   AeroVironment JUMP 20-X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5" authorId="1" shapeId="0">
      <text>
        <t xml:space="preserve">
=== CORRELATION DETAILS ===
Aeronave:   AeroVironment JUMP 20-X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5" authorId="1" shapeId="0">
      <text>
        <t xml:space="preserve">
=== CORRELATION DETAILS ===
Aeronave:   AeroVironment JUMP 20-X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5" authorId="1" shapeId="0">
      <text>
        <t xml:space="preserve">
=== CORRELATION DETAILS ===
Aeronave:   AeroVironment JUMP 20-X
Parámetro:   Cuerda
Valor imputado:   nan
Confianza:   0
Corr:   0
k:   0
Tipo Modelo:   n/a
Predictores:   
Penalizacion_k:   0
Familia:   sin filtro
Método predictivo:   Correlacion
Advertencia:   ❌ No se permite imputación sin filtro para esta celda.
Iteración imputación:   3
</t>
      </text>
    </comment>
    <comment ref="V75" authorId="1" shapeId="0">
      <text>
        <t xml:space="preserve">
=== CORRELATION DETAILS ===
Aeronave:   AeroVironment JUMP 20-X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5" authorId="1" shapeId="0">
      <text>
        <t xml:space="preserve">
=== CORRELATION DETAILS ===
Aeronave:   AeroVironment JUMP 20-X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5" authorId="1" shapeId="0">
      <text>
        <t xml:space="preserve">
=== CORRELATION DETAILS ===
Aeronave:   AeroVironment JUMP 20-X
Parámetro:   Peso frame
Valor imputado:   nan
Confianza:   0
Corr:   0
k:   0
Tipo Modelo:   n/a
Predictores:   
Penalizacion_k:   0
Familia:   sin filtro
Método predictivo:   Correlacion
Advertencia:   ❌ No se permite imputación sin filtro para esta celda.
Iteración imputación:   3
</t>
      </text>
    </comment>
    <comment ref="Z75" authorId="1" shapeId="0">
      <text>
        <t xml:space="preserve">
=== CORRELATION DETAILS ===
Aeronave:   AeroVironment JUMP 20-X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5" authorId="1" shapeId="0">
      <text>
        <t xml:space="preserve">=== CÁLCULO APLICADO ===
formula:   W0 = MTOW - Payload
inputs:
    MTOW:   97.5
    Payload:   13.6
</t>
      </text>
    </comment>
    <comment ref="AB75" authorId="1" shapeId="0">
      <text>
        <t xml:space="preserve">
=== CORRELATION DETAILS ===
Aeronave:   AeroVironment JUMP 20-X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5" authorId="1" shapeId="0">
      <text>
        <t xml:space="preserve">
=== CORRELATION DETAILS ===
Aeronave:   AeroVironment JUMP 20-X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5" authorId="1" shapeId="0">
      <text>
        <t xml:space="preserve">
=== CORRELATION DETAILS ===
Aeronave:   AeroVironment JUMP 20-X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5" authorId="1" shapeId="0">
      <text>
        <t xml:space="preserve">
=== CORRELATION DETAILS ===
Aeronave:   AeroVironment JUMP 20-X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5" authorId="1" shapeId="0">
      <text>
        <t xml:space="preserve">
=== CORRELATION DETAILS ===
Aeronave:   AeroVironment JUMP 20-X
Parámetro:   Capacidad combustible
Valor imputado:   nan
Confianza:   0
Corr:   0
k:   0
Tipo Modelo:   n/a
Predictores:   
Penalizacion_k:   0
Familia:   F1
Método predictivo:   Correlacion
Advertencia:   ❌ Todos los modelos descartados por LOOCV (MAPE &gt; 12.5% o R2 &lt;= 0.45)
Iteración imputación:   3
</t>
      </text>
    </comment>
    <comment ref="AH75" authorId="1" shapeId="0">
      <text>
        <t xml:space="preserve">
=== CORRELATION DETAILS ===
Aeronave:   AeroVironment JUMP 20-X
Parámetro:   Consumo
Valor imputado:   nan
Confianza:   0
Corr:   0
k:   0
Tipo Modelo:   n/a
Predictores:   
Penalizacion_k:   0
Familia:   sin filtro
Método predictivo:   Correlacion
Advertencia:   ❌ No se permite imputación sin filtro para esta celda.
Iteración imputación:   3
</t>
      </text>
    </comment>
    <comment ref="AI75" authorId="1" shapeId="0">
      <text>
        <t xml:space="preserve">
=== CORRELATION DETAILS ===
Aeronave:   AeroVironment JUMP 20-X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5" authorId="1" shapeId="0">
      <text>
        <t xml:space="preserve">
=== CORRELATION DETAILS ===
Aeronave:   AeroVironment JUMP 20-X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5" authorId="1" shapeId="0">
      <text>
        <t xml:space="preserve">
=== CORRELATION DETAILS ===
Aeronave:   AeroVironment JUMP 20-X
Parámetro:   Precio
Valor imputado:   nan
Confianza:   0
Corr:   0
k:   0
Tipo Modelo:   n/a
Predictores:   
Penalizacion_k:   0
Familia:   sin filtro
Método predictivo:   Correlacion
Advertencia:   ❌ No se permite imputación sin filtro para esta celda.
Iteración imputación:   3
</t>
      </text>
    </comment>
    <comment ref="AL75" authorId="1" shapeId="0">
      <text>
        <t xml:space="preserve">
=== CORRELATION DETAILS ===
Aeronave:   AeroVironment JUMP 20-X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6" authorId="1" shapeId="0">
      <text>
        <t xml:space="preserve">
=== CORRELATION DETAILS ===
Aeronave:   T-20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6" authorId="1" shapeId="0">
      <text>
        <t xml:space="preserve">
=== CORRELATION DETAILS ===
Aeronave:   T-20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6" authorId="1" shapeId="0">
      <text>
        <t xml:space="preserve">=== CÁLCULO APLICADO ===
formula:   TAS_5000 = IAS / sqrt(σ_5000)
inputs:
    IAS:   30.8
    σ_5000:   0.862
</t>
      </text>
    </comment>
    <comment ref="F76" authorId="1" shapeId="0">
      <text>
        <t xml:space="preserve">
=== CORRELATION DETAILS ===
Aeronave:   T-20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6" authorId="1" shapeId="0">
      <text>
        <t xml:space="preserve">=== IMPUTED VALUE ===
Aeronave:   T-20
Parámetro:   Área del ala
Valor imputado:   1.07
Confianza:   0.272
Método predictivo:   Correlacion
Iteración imputación:   1
variable_independiente_1:   89
=== CORRELATION DETAILS ===
Aeronave:   T-20
Parámetro:   Área del ala
Valor imputado:   1.07
Confianza:   0.272
Tipo Modelo:   poly-1
Predictores:   Rango de comunicación
Coeficientes: [0.00161, 0.000]
Peso de predictores: [1]
Aeronaves entrenamiento: [Stalker XE, Stalker VXE30 Fuel Cell, Stalker VXE30 Battery, Aerosonde Mk. 4.7 Fixed Wing, Aerosonde Mk. 4.8 Fixed wing]
k:   5
Penalizacion_k:   0.272
Corr:   1
MAPE:   0
R2:   1
Confianza_LOOCV:   0.262
k_LOOCV:   5
Corr_LOOCV:   0.962
MAPE_LOOCV:   1.05
R2_LOOCV:   0.994
Método predictivo:   Correlacion
Advertencia:   Advertencia: El MAPE de validación es más de 5 veces mayor que el de entrenamiento (1.05% vs 0.00%). Posible sobreajuste.; 🟢 Modelo robusto
Familia:   F2
Iteración imputación:   1
variable_independiente_1:   89
</t>
      </text>
    </comment>
    <comment ref="H76" authorId="1" shapeId="0">
      <text>
        <t>=== IMPUTED VALUE ===
Aeronave:   T-20
Parámetro:   Relación de aspecto del ala
Valor imputado:   12.6
Confianza:   0.267
Método predictivo:   Correlacion
Iteración imputación:   1
variable_independiente_1:   15
=== CORRELATION DETAILS ===
Aeronave:   T-20
Parámetro:   Relación de aspecto del ala
Valor imputado:   12.6
Confianza:   0.267
Tipo Modelo:   pot-1
Predictores:   Payload
Coeficientes: [-0.109]
Peso de predictores: [1]
Aeronaves entrenamiento: [Stalker XE, Stalker VXE30 Fuel Cell, Stalker VXE30 Battery, Aerosonde Mk. 4.7 Fixed Wing, Aerosonde Mk. 4.8 Fixed wing]
k:   5
Penalizacion_k:   0.272
Corr:   0.982
MAPE:   0.486
R2:   0.996
Confianza_LOOCV:   0.238
k_LOOCV:   5
Corr_LOOCV:   0.875
MAPE_LOOCV:   2.3
R2_LOOCV:   0.903
Método predictivo:   Correlacion
Advertencia:   🟢 Modelo robusto
Familia:   F2
Iteración imputación:   1
variable_independiente_1:   15
[Verificación] AR ≈ b / c
[Fórmula] Δrel = |A − B| / max(|A|, |B|, 1e−12) con A=AR, B=b/c
[Normalización] Error relativo simétrico para escalas comparables.
[Sustitución] |12.5971 − (5.3/0.346444)| / max(|12.5971|, |15.2983|, 1e−12)
[Resultado] Δrel=0.176565 (17.66%); severidad: no_confiable</t>
      </text>
    </comment>
    <comment ref="J76" authorId="1" shapeId="0">
      <text>
        <t xml:space="preserve">
=== CORRELATION DETAILS ===
Aeronave:   T-20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6" authorId="1" shapeId="0">
      <text>
        <t xml:space="preserve">=== IMPUTED VALUE ===
Aeronave:   T-20
Parámetro:   Ancho del fuselaje
Valor imputado:   0.274
Confianza:   0.251
Método predictivo:   Correlacion
Iteración imputación:   1
variable_independiente_1:   15
=== CORRELATION DETAILS ===
Aeronave:   T-20
Parámetro:   Ancho del fuselaje
Valor imputado:   0.274
Confianza:   0.251
Tipo Modelo:   log-1
Predictores:   Payload
Coeficientes: [0.0392]
Peso de predictores: [1]
Aeronaves entrenamiento: [Stalker XE, Stalker VXE30 Fuel Cell, Stalker VXE30 Battery, Aerosonde Mk. 4.7 Fixed Wing, Aerosonde Mk. 4.8 Fixed wing]
k:   5
Penalizacion_k:   0.272
Corr:   0.925
MAPE:   2.01
R2:   0.983
Confianza_LOOCV:   0.212
k_LOOCV:   5
Corr_LOOCV:   0.78
MAPE_LOOCV:   4.76
R2_LOOCV:   0.877
Método predictivo:   Correlacion
Advertencia:   🟢 Modelo robusto
Familia:   F2
Iteración imputación:   1
variable_independiente_1:   15
</t>
      </text>
    </comment>
    <comment ref="M76" authorId="1" shapeId="0">
      <text>
        <t xml:space="preserve">=== CÁLCULO APLICADO ===
formula:   R[km] = h*3600*V/1000
inputs:
    Autonomía[h]:   24
    Velocidad[m/s]:   30.8
</t>
      </text>
    </comment>
    <comment ref="P76" authorId="1" shapeId="0">
      <text>
        <t xml:space="preserve">
=== CORRELATION DETAILS ===
Aeronave:   T-20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6" authorId="1" shapeId="0">
      <text>
        <t xml:space="preserve">
=== CORRELATION DETAILS ===
Aeronave:   T-20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6" authorId="1" shapeId="0">
      <text>
        <t xml:space="preserve">
=== CORRELATION DETAILS ===
Aeronave:   T-20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76" authorId="2" shapeId="0">
      <text>
        <t>[Verificación] AR ≈ b / c
[Fórmula] Δrel = |A − B| / max(|A|, |B|, 1e−12) con A=AR, B=b/c
[Normalización] Error relativo simétrico para escalas comparables.
[Sustitución] |12.5971 − (5.3/0.346444)| / max(|12.5971|, |15.2983|, 1e−12)
[Resultado] Δrel=0.176565 (17.66%); severidad: no_confiable</t>
      </text>
    </comment>
    <comment ref="T76" authorId="1" shapeId="0">
      <text>
        <t>=== IMPUTED VALUE ===
Aeronave:   T-20
Parámetro:   Cuerda
Valor imputado:   0.346
Confianza:   0.272
Método predictivo:   Correlacion
Iteración imputación:   1
variable_independiente_1:   2.9
=== CORRELATION DETAILS ===
Aeronave:   T-20
Parámetro:   Cuerda
Valor imputado:   0.346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F2
Iteración imputación:   1
variable_independiente_1:   2.9
[Verificación] AR ≈ b / c
[Fórmula] Δrel = |A − B| / max(|A|, |B|, 1e−12) con A=AR, B=b/c
[Normalización] Error relativo simétrico para escalas comparables.
[Sustitución] |12.5971 − (5.3/0.346444)| / max(|12.5971|, |15.2983|, 1e−12)
[Resultado] Δrel=0.176565 (17.66%); severidad: no_confiable</t>
      </text>
    </comment>
    <comment ref="V76" authorId="1" shapeId="0">
      <text>
        <t xml:space="preserve">
=== CORRELATION DETAILS ===
Aeronave:   T-20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6" authorId="1" shapeId="0">
      <text>
        <t xml:space="preserve">
=== CORRELATION DETAILS ===
Aeronave:   T-20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6" authorId="1" shapeId="0">
      <text>
        <t xml:space="preserve">
=== CORRELATION DETAILS ===
Aeronave:   T-20
Parámetro:   Peso frame
Valor imputado:   nan
Confianza:   0
Corr:   0
k:   0
Tipo Modelo:   n/a
Predictores:   
Penalizacion_k:   0
Familia:   sin filtro
Método predictivo:   Correlacion
Advertencia:   ❌ No se permite imputación sin filtro para esta celda.
Iteración imputación:   3
</t>
      </text>
    </comment>
    <comment ref="Z76" authorId="1" shapeId="0">
      <text>
        <t xml:space="preserve">
=== CORRELATION DETAILS ===
Aeronave:   T-20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6" authorId="1" shapeId="0">
      <text>
        <t xml:space="preserve">=== CÁLCULO APLICADO ===
formula:   W0 = MTOW - Payload
inputs:
    MTOW:   84
    Payload:   15
</t>
      </text>
    </comment>
    <comment ref="AB76" authorId="1" shapeId="0">
      <text>
        <t xml:space="preserve">
=== CORRELATION DETAILS ===
Aeronave:   T-20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6" authorId="1" shapeId="0">
      <text>
        <t xml:space="preserve">
=== CORRELATION DETAILS ===
Aeronave:   T-20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6" authorId="1" shapeId="0">
      <text>
        <t xml:space="preserve">
=== CORRELATION DETAILS ===
Aeronave:   T-20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6" authorId="1" shapeId="0">
      <text>
        <t xml:space="preserve">
=== CORRELATION DETAILS ===
Aeronave:   T-20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6" authorId="1" shapeId="0">
      <text>
        <t xml:space="preserve">
=== CORRELATION DETAILS ===
Aeronave:   T-20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6" authorId="1" shapeId="0">
      <text>
        <t xml:space="preserve">
=== CORRELATION DETAILS ===
Aeronave:   T-20
Parámetro:   Consumo
Valor imputado:   nan
Confianza:   0
Corr:   0
k:   0
Tipo Modelo:   n/a
Predictores:   
Penalizacion_k:   0
Familia:   sin filtro
Método predictivo:   Correlacion
Advertencia:   ❌ No se permite imputación sin filtro para esta celda.
Iteración imputación:   3
</t>
      </text>
    </comment>
    <comment ref="AI76" authorId="1" shapeId="0">
      <text>
        <t xml:space="preserve">
=== CORRELATION DETAILS ===
Aeronave:   T-20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76" authorId="1" shapeId="0">
      <text>
        <t xml:space="preserve">
=== CORRELATION DETAILS ===
Aeronave:   T-20
Parámetro:   Precio
Valor imputado:   nan
Confianza:   0
Corr:   0
k:   0
Tipo Modelo:   n/a
Predictores:   
Penalizacion_k:   0
Familia:   sin filtro
Método predictivo:   Correlacion
Advertencia:   ❌ No se permite imputación sin filtro para esta celda.
Iteración imputación:   3
</t>
      </text>
    </comment>
    <comment ref="AL76" authorId="1" shapeId="0">
      <text>
        <t xml:space="preserve">
=== CORRELATION DETAILS ===
Aeronave:   T-20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7" authorId="1" shapeId="0">
      <text>
        <t xml:space="preserve">
=== CORRELATION DETAILS ===
Aeronave:   P550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7" authorId="1" shapeId="0">
      <text>
        <t xml:space="preserve">
=== CORRELATION DETAILS ===
Aeronave:   P550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7" authorId="1" shapeId="0">
      <text>
        <t xml:space="preserve">
=== CORRELATION DETAILS ===
Aeronave:   P550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7" authorId="1" shapeId="0">
      <text>
        <t xml:space="preserve">
=== CORRELATION DETAILS ===
Aeronave:   P550
Parámetro:   Velocidad de pérdida limpia (m/s CAS)
Valor imputado:   nan
Confianza:   0
Corr:   0
k:   0
Tipo Modelo:   n/a
Predictores:   
Penalizacion_k:   0
Familia:   F1
Método predictivo:   Correlacion
Advertencia:   ❌ Todos los modelos descartados por LOOCV (MAPE &gt; 12.5% o R2 &lt;= 0.45)
Iteración imputación:   3
</t>
      </text>
    </comment>
    <comment ref="G77" authorId="1" shapeId="0">
      <text>
        <t xml:space="preserve">
=== CORRELATION DETAILS ===
Aeronave:   P550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7" authorId="1" shapeId="0">
      <text>
        <t xml:space="preserve">
=== CORRELATION DETAILS ===
Aeronave:   P550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7" authorId="1" shapeId="0">
      <text>
        <t xml:space="preserve">
=== CORRELATION DETAILS ===
Aeronave:   P550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7" authorId="1" shapeId="0">
      <text>
        <t xml:space="preserve">
=== CORRELATION DETAILS ===
Aeronave:   P550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7" authorId="1" shapeId="0">
      <text>
        <t xml:space="preserve">
=== CORRELATION DETAILS ===
Aeronave:   P550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77" authorId="1" shapeId="0">
      <text>
        <t xml:space="preserve">
=== CORRELATION DETAILS ===
Aeronave:   P550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7" authorId="1" shapeId="0">
      <text>
        <t xml:space="preserve">
=== CORRELATION DETAILS ===
Aeronave:   P550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7" authorId="1" shapeId="0">
      <text>
        <t xml:space="preserve">
=== CORRELATION DETAILS ===
Aeronave:   P550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7" authorId="1" shapeId="0">
      <text>
        <t xml:space="preserve">
=== CORRELATION DETAILS ===
Aeronave:   P550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7" authorId="1" shapeId="0">
      <text>
        <t xml:space="preserve">
=== CORRELATION DETAILS ===
Aeronave:   P550
Parámetro:   Cuerda
Valor imputado:   nan
Confianza:   0
Corr:   0
k:   0
Tipo Modelo:   n/a
Predictores:   
Penalizacion_k:   0
Familia:   sin filtro
Método predictivo:   Correlacion
Advertencia:   ❌ No se permite imputación sin filtro para esta celda.
Iteración imputación:   3
</t>
      </text>
    </comment>
    <comment ref="V77" authorId="1" shapeId="0">
      <text>
        <t xml:space="preserve">
=== CORRELATION DETAILS ===
Aeronave:   P550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7" authorId="1" shapeId="0">
      <text>
        <t xml:space="preserve">
=== CORRELATION DETAILS ===
Aeronave:   P550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77" authorId="1" shapeId="0">
      <text>
        <t xml:space="preserve">
=== CORRELATION DETAILS ===
Aeronave:   P550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7" authorId="1" shapeId="0">
      <text>
        <t xml:space="preserve">
=== CORRELATION DETAILS ===
Aeronave:   P550
Parámetro:   Peso frame
Valor imputado:   nan
Confianza:   0
Corr:   0
k:   0
Tipo Modelo:   n/a
Predictores:   
Penalizacion_k:   0
Familia:   sin filtro
Método predictivo:   Correlacion
Advertencia:   ❌ No se permite imputación sin filtro para esta celda.
Iteración imputación:   3
</t>
      </text>
    </comment>
    <comment ref="Z77" authorId="1" shapeId="0">
      <text>
        <t xml:space="preserve">
=== CORRELATION DETAILS ===
Aeronave:   P550
Parámetro:   Peso vacio - fuel y battery
Valor imputado:   nan
Confianza:   0
Corr:   0
k:   0
Tipo Modelo:   n/a
Predictores:   
Penalizacion_k:   0
Familia:   F2
Método predictivo:   Correlacion
Advertencia:   ❌ Todos los modelos descartados por LOOCV (MAPE &gt; 12.5% o R2 &lt;= 0.45)
Iteración imputación:   3
</t>
      </text>
    </comment>
    <comment ref="AA77" authorId="1" shapeId="0">
      <text>
        <t xml:space="preserve">=== CÁLCULO APLICADO ===
formula:   W0 = MTOW - Payload
inputs:
    MTOW:   25
    Payload:   6.8
</t>
      </text>
    </comment>
    <comment ref="AB77" authorId="1" shapeId="0">
      <text>
        <t xml:space="preserve">
=== CORRELATION DETAILS ===
Aeronave:   P550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7" authorId="1" shapeId="0">
      <text>
        <t xml:space="preserve">
=== CORRELATION DETAILS ===
Aeronave:   P550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7" authorId="1" shapeId="0">
      <text>
        <t xml:space="preserve">
=== CORRELATION DETAILS ===
Aeronave:   P550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7" authorId="1" shapeId="0">
      <text>
        <t xml:space="preserve">
=== CORRELATION DETAILS ===
Aeronave:   P550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7" authorId="1" shapeId="0">
      <text>
        <t xml:space="preserve">
=== CORRELATION DETAILS ===
Aeronave:   P550
Parámetro:   Capacidad combustible
Valor imputado:   nan
Confianza:   0
Corr:   0
k:   0
Tipo Modelo:   n/a
Predictores:   
Penalizacion_k:   0
Familia:   F2
Método predictivo:   Correlacion
Advertencia:   ❌ Todos los modelos descartados por LOOCV (MAPE &gt; 12.5% o R2 &lt;= 0.45)
Iteración imputación:   3
</t>
      </text>
    </comment>
    <comment ref="AH77" authorId="1" shapeId="0">
      <text>
        <t xml:space="preserve">
=== CORRELATION DETAILS ===
Aeronave:   P550
Parámetro:   Consumo
Valor imputado:   nan
Confianza:   0
Corr:   0
k:   0
Tipo Modelo:   n/a
Predictores:   
Penalizacion_k:   0
Familia:   sin filtro
Método predictivo:   Correlacion
Advertencia:   ❌ No se permite imputación sin filtro para esta celda.
Iteración imputación:   3
</t>
      </text>
    </comment>
    <comment ref="AI77" authorId="1" shapeId="0">
      <text>
        <t xml:space="preserve">
=== CORRELATION DETAILS ===
Aeronave:   P550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7" authorId="1" shapeId="0">
      <text>
        <t xml:space="preserve">
=== CORRELATION DETAILS ===
Aeronave:   P550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7" authorId="1" shapeId="0">
      <text>
        <t xml:space="preserve">
=== CORRELATION DETAILS ===
Aeronave:   P550
Parámetro:   Precio
Valor imputado:   nan
Confianza:   0
Corr:   0
k:   0
Tipo Modelo:   n/a
Predictores:   
Penalizacion_k:   0
Familia:   sin filtro
Método predictivo:   Correlacion
Advertencia:   ❌ No se permite imputación sin filtro para esta celda.
Iteración imputación:   3
</t>
      </text>
    </comment>
    <comment ref="AL77" authorId="1" shapeId="0">
      <text>
        <t xml:space="preserve">
=== CORRELATION DETAILS ===
Aeronave:   P550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8" authorId="1" shapeId="0">
      <text>
        <t xml:space="preserve">
=== CORRELATION DETAILS ===
Aeronave:   Puma 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8" authorId="1" shapeId="0">
      <text>
        <t xml:space="preserve">
=== CORRELATION DETAILS ===
Aeronave:   Puma 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8" authorId="1" shapeId="0">
      <text>
        <t xml:space="preserve">
=== CORRELATION DETAILS ===
Aeronave:   Puma LE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8" authorId="1" shapeId="0">
      <text>
        <t xml:space="preserve">
=== CORRELATION DETAILS ===
Aeronave:   Puma LE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8" authorId="1" shapeId="0">
      <text>
        <t xml:space="preserve">=== IMPUTED VALUE ===
Aeronave:   Puma LE
Parámetro:   Área del ala
Valor imputado:   0.876
Confianza:   0.272
Método predictivo:   Correlacion
Iteración imputación:   1
variable_independiente_1:   60
=== CORRELATION DETAILS ===
Aeronave:   Puma LE
Parámetro:   Área del ala
Valor imputado:   0.876
Confianza:   0.272
Tipo Modelo:   poly-1
Predictores:   Rango de comunicación
Coeficientes: [0.00161, 0.000]
Peso de predictores: [1]
Aeronaves entrenamiento: [Stalker XE, Stalker VXE30 Fuel Cell, Stalker VXE30 Battery, Aerosonde Mk. 4.7 Fixed Wing, Aerosonde Mk. 4.8 Fixed wing]
k:   5
Penalizacion_k:   0.272
Corr:   1
MAPE:   0
R2:   1
Confianza_LOOCV:   0.262
k_LOOCV:   5
Corr_LOOCV:   0.962
MAPE_LOOCV:   1.05
R2_LOOCV:   0.994
Método predictivo:   Correlacion
Advertencia:   Advertencia: El MAPE de validación es más de 5 veces mayor que el de entrenamiento (1.05% vs 0.00%). Posible sobreajuste.; 🟢 Modelo robusto
Familia:   F2
Iteración imputación:   1
variable_independiente_1:   60
</t>
      </text>
    </comment>
    <comment ref="H78" authorId="1" shapeId="0">
      <text>
        <t>=== IMPUTED VALUE ===
Aeronave:   Puma LE
Parámetro:   Relación de aspecto del ala
Valor imputado:   15.4
Confianza:   0.272
Método predictivo:   Correlacion
Iteración imputación:   1
variable_independiente_1:   6.5
=== CORRELATION DETAILS ===
Aeronave:   Puma LE
Parámetro:   Relación de aspecto del ala
Valor imputado:   15.4
Confianza:   0.272
Tipo Modelo:   poly-1
Predictores:   Autonomía de la aeronave
Coeficientes: [0.176, -0.0149]
Peso de predictores: [1]
Aeronaves entrenamiento: [Stalker XE, Stalker VXE30 Fuel Cell, Stalker VXE30 Battery, Aerosonde Mk. 4.7 Fixed Wing, Aerosonde Mk. 4.8 Fixed wing]
k:   5
Penalizacion_k:   0.272
Corr:   0.999
MAPE:   0.0329
R2:   1
Confianza_LOOCV:   0.257
k_LOOCV:   5
Corr_LOOCV:   0.945
MAPE_LOOCV:   0.94
R2_LOOCV:   0.953
Método predictivo:   Correlacion
Advertencia:   Advertencia: El MAPE de validación es más de 5 veces mayor que el de entrenamiento (0.94% vs 0.03%). Posible sobreajuste.; 🟢 Modelo robusto
Familia:   F2
Iteración imputación:   1
variable_independiente_1:   6.5
[Verificación] AR ≈ b / c
[Fórmula] Δrel = |A − B| / max(|A|, |B|, 1e−12) con A=AR, B=b/c
[Normalización] Error relativo simétrico para escalas comparables.
[Sustitución] |15.3744 − (4.6/0.258555)| / max(|15.3744|, |17.7912|, 1e−12)
[Resultado] Δrel=0.135839 (13.58%); severidad: no_confiable</t>
      </text>
    </comment>
    <comment ref="J78" authorId="1" shapeId="0">
      <text>
        <t xml:space="preserve">
=== CORRELATION DETAILS ===
Aeronave:   Puma LE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8" authorId="1" shapeId="0">
      <text>
        <t xml:space="preserve">=== IMPUTED VALUE ===
Aeronave:   Puma LE
Parámetro:   Ancho del fuselaje
Valor imputado:   0.202
Confianza:   0.261
Método predictivo:   Correlacion
Iteración imputación:   1
variable_independiente_1:   6.5
=== CORRELATION DETAILS ===
Aeronave:   Puma LE
Parámetro:   Ancho del fuselaje
Valor imputado:   0.202
Confianza:   0.261
Tipo Modelo:   poly-1
Predictores:   Autonomía de la aeronave
Coeficientes: [-0.00218, 0.000296]
Peso de predictores: [1]
Aeronaves entrenamiento: [Stalker XE, Stalker VXE30 Fuel Cell, Stalker VXE30 Battery, Aerosonde Mk. 4.7 Fixed Wing, Aerosonde Mk. 4.8 Fixed wing]
k:   5
Penalizacion_k:   0.272
Corr:   0.96
MAPE:   1.07
R2:   0.991
Confianza_LOOCV:   0.234
k_LOOCV:   5
Corr_LOOCV:   0.86
MAPE_LOOCV:   3.33
R2_LOOCV:   0.941
Método predictivo:   Correlacion
Advertencia:   🟢 Modelo robusto
Familia:   F2
Iteración imputación:   1
variable_independiente_1:   6.5
</t>
      </text>
    </comment>
    <comment ref="M78" authorId="1" shapeId="0">
      <text>
        <t xml:space="preserve">
=== CORRELATION DETAILS ===
Aeronave:   Puma LE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78" authorId="1" shapeId="0">
      <text>
        <t xml:space="preserve">
=== CORRELATION DETAILS ===
Aeronave:   Puma LE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8" authorId="1" shapeId="0">
      <text>
        <t xml:space="preserve">
=== CORRELATION DETAILS ===
Aeronave:   Puma LE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8" authorId="1" shapeId="0">
      <text>
        <t xml:space="preserve">
=== CORRELATION DETAILS ===
Aeronave:   Puma LE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8" authorId="1" shapeId="0">
      <text>
        <t xml:space="preserve">
=== CORRELATION DETAILS ===
Aeronave:   Puma LE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78" authorId="2" shapeId="0">
      <text>
        <t>[Verificación] AR ≈ b / c
[Fórmula] Δrel = |A − B| / max(|A|, |B|, 1e−12) con A=AR, B=b/c
[Normalización] Error relativo simétrico para escalas comparables.
[Sustitución] |15.3744 − (4.6/0.258555)| / max(|15.3744|, |17.7912|, 1e−12)
[Resultado] Δrel=0.135839 (13.58%); severidad: no_confiable</t>
      </text>
    </comment>
    <comment ref="T78" authorId="1" shapeId="0">
      <text>
        <t>=== IMPUTED VALUE ===
Aeronave:   Puma LE
Parámetro:   Cuerda
Valor imputado:   0.259
Confianza:   0.272
Método predictivo:   Correlacion
Iteración imputación:   1
variable_independiente_1:   2.2
=== CORRELATION DETAILS ===
Aeronave:   Puma LE
Parámetro:   Cuerda
Valor imputado:   0.259
Confianza:   0.272
Tipo Modelo:   poly-1
Predictores:   Longitud del fuselaje
Coeficientes: [0.572, -0.0875]
Peso de predictores: [1]
Aeronaves entrenamiento: [Stalker XE, Stalker VXE30 Fuel Cell, Stalker VXE30 Battery, Aerosonde Mk. 4.7 Fixed Wing, Aerosonde Mk. 4.8 Fixed wing]
k:   5
Penalizacion_k:   0.272
Corr:   1
MAPE:   0.000
R2:   1
Confianza_LOOCV:   0.212
k_LOOCV:   5
Corr_LOOCV:   0.78
MAPE_LOOCV:   3.51
R2_LOOCV:   0.794
Método predictivo:   Correlacion
Advertencia:   Advertencia: El MAPE de validación es más de 5 veces mayor que el de entrenamiento (3.51% vs 0.00%). Posible sobreajuste.; 🟢 Modelo robusto
Familia:   F2
Iteración imputación:   1
variable_independiente_1:   2.2
[Verificación] AR ≈ b / c
[Fórmula] Δrel = |A − B| / max(|A|, |B|, 1e−12) con A=AR, B=b/c
[Normalización] Error relativo simétrico para escalas comparables.
[Sustitución] |15.3744 − (4.6/0.258555)| / max(|15.3744|, |17.7912|, 1e−12)
[Resultado] Δrel=0.135839 (13.58%); severidad: no_confiable</t>
      </text>
    </comment>
    <comment ref="U78" authorId="1" shapeId="0">
      <text>
        <t xml:space="preserve">
=== CORRELATION DETAILS ===
Aeronave:   Puma LE
Parámetro:   Payload
Valor imputado:   nan
Confianza:   0
Corr:   0
k:   0
Tipo Modelo:   n/a
Predictores:   
Penalizacion_k:   0
Familia:   sin filtro
Método predictivo:   Correlacion
Advertencia:   ❌ No se permite imputación sin filtro para esta celda.
Iteración imputación:   3
</t>
      </text>
    </comment>
    <comment ref="V78" authorId="1" shapeId="0">
      <text>
        <t xml:space="preserve">
=== CORRELATION DETAILS ===
Aeronave:   Puma LE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8" authorId="1" shapeId="0">
      <text>
        <t xml:space="preserve">
=== CORRELATION DETAILS ===
Aeronave:   Puma LE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78" authorId="1" shapeId="0">
      <text>
        <t xml:space="preserve">
=== CORRELATION DETAILS ===
Aeronave:   Puma LE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8" authorId="1" shapeId="0">
      <text>
        <t xml:space="preserve">
=== CORRELATION DETAILS ===
Aeronave:   Puma LE
Parámetro:   Peso frame
Valor imputado:   nan
Confianza:   0
Corr:   0
k:   0
Tipo Modelo:   n/a
Predictores:   
Penalizacion_k:   0
Familia:   sin filtro
Método predictivo:   Correlacion
Advertencia:   ❌ No se permite imputación sin filtro para esta celda.
Iteración imputación:   3
</t>
      </text>
    </comment>
    <comment ref="Z78" authorId="1" shapeId="0">
      <text>
        <t xml:space="preserve">
=== CORRELATION DETAILS ===
Aeronave:   Puma LE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8" authorId="1" shapeId="0">
      <text>
        <t xml:space="preserve">
=== CORRELATION DETAILS ===
Aeronave:   Puma LE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78" authorId="1" shapeId="0">
      <text>
        <t xml:space="preserve">
=== CORRELATION DETAILS ===
Aeronave:   Puma LE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8" authorId="1" shapeId="0">
      <text>
        <t xml:space="preserve">
=== CORRELATION DETAILS ===
Aeronave:   Puma LE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8" authorId="1" shapeId="0">
      <text>
        <t xml:space="preserve">
=== CORRELATION DETAILS ===
Aeronave:   Puma LE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8" authorId="1" shapeId="0">
      <text>
        <t xml:space="preserve">
=== CORRELATION DETAILS ===
Aeronave:   Puma LE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8" authorId="1" shapeId="0">
      <text>
        <t xml:space="preserve">
=== CORRELATION DETAILS ===
Aeronave:   Puma LE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8" authorId="1" shapeId="0">
      <text>
        <t xml:space="preserve">
=== CORRELATION DETAILS ===
Aeronave:   Puma LE
Parámetro:   Consumo
Valor imputado:   nan
Confianza:   0
Corr:   0
k:   0
Tipo Modelo:   n/a
Predictores:   
Penalizacion_k:   0
Familia:   sin filtro
Método predictivo:   Correlacion
Advertencia:   ❌ No se permite imputación sin filtro para esta celda.
Iteración imputación:   3
</t>
      </text>
    </comment>
    <comment ref="AI78" authorId="1" shapeId="0">
      <text>
        <t xml:space="preserve">
=== CORRELATION DETAILS ===
Aeronave:   Puma LE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8" authorId="1" shapeId="0">
      <text>
        <t xml:space="preserve">
=== CORRELATION DETAILS ===
Aeronave:   Puma LE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8" authorId="1" shapeId="0">
      <text>
        <t xml:space="preserve">
=== CORRELATION DETAILS ===
Aeronave:   Puma LE
Parámetro:   Precio
Valor imputado:   nan
Confianza:   0
Corr:   0
k:   0
Tipo Modelo:   n/a
Predictores:   
Penalizacion_k:   0
Familia:   sin filtro
Método predictivo:   Correlacion
Advertencia:   ❌ No se permite imputación sin filtro para esta celda.
Iteración imputación:   3
</t>
      </text>
    </comment>
    <comment ref="AL78" authorId="1" shapeId="0">
      <text>
        <t xml:space="preserve">
=== CORRELATION DETAILS ===
Aeronave:   Puma LE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9" authorId="1" shapeId="0">
      <text>
        <t xml:space="preserve">
=== CORRELATION DETAILS ===
Aeronave:   Puma 3 AE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9" authorId="1" shapeId="0">
      <text>
        <t xml:space="preserve">
=== CORRELATION DETAILS ===
Aeronave:   Puma 3 AE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9" authorId="1" shapeId="0">
      <text>
        <t xml:space="preserve">=== CÁLCULO APLICADO ===
formula:   TAS_5000 = IAS / sqrt(σ_5000)
inputs:
    IAS:   23.1
    σ_5000:   0.862
</t>
      </text>
    </comment>
    <comment ref="F79" authorId="1" shapeId="0">
      <text>
        <t xml:space="preserve">
=== CORRELATION DETAILS ===
Aeronave:   Puma 3 AE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9" authorId="1" shapeId="0">
      <text>
        <t xml:space="preserve">=== IMPUTED VALUE ===
Aeronave:   Puma 3 AE
Parámetro:   Área del ala
Valor imputado:   2.02
Confianza:   0.272
Método predictivo:   Correlacion
Iteración imputación:   1
variable_independiente_1:   23.1
=== CORRELATION DETAILS ===
Aeronave:   Puma 3 AE
Parámetro:   Área del ala
Valor imputado:   2.02
Confianza:   0.272
Tipo Modelo:   poly-1
Predictores:   Velocidad crucero m/s
Coeficientes: [1.73, -0.0411]
Peso de predictores: [1]
Aeronaves entrenamiento: [Stalker XE, Stalker VXE30 Fuel Cell, Stalker VXE30 Battery, Aerosonde Mk. 4.7 Fixed Wing, Aerosonde Mk. 4.8 Fixed wing]
k:   5
Penalizacion_k:   0.272
Corr:   1
MAPE:   0.000
R2:   1
Confianza_LOOCV:   0.19
k_LOOCV:   5
Corr_LOOCV:   0.698
MAPE_LOOCV:   6.04
R2_LOOCV:   0.798
Método predictivo:   Correlacion
Advertencia:   Advertencia: El MAPE de validación es más de 5 veces mayor que el de entrenamiento (6.04% vs 0.00%). Posible sobreajuste.; 🟢 Modelo robusto
Familia:   F2
Iteración imputación:   1
variable_independiente_1:   23.1
</t>
      </text>
    </comment>
    <comment ref="H79" authorId="1" shapeId="0">
      <text>
        <t xml:space="preserve">=== IMPUTED VALUE ===
Aeronave:   Puma 3 AE
Parámetro:   Relación de aspecto del ala
Valor imputado:   13.6
Confianza:   0.272
Método predictivo:   Correlacion
Iteración imputación:   1
variable_independiente_1:   23.1
=== CORRELATION DETAILS ===
Aeronave:   Puma 3 AE
Parámetro:   Relación de aspecto del ala
Valor imputado:   13.6
Confianza:   0.272
Tipo Modelo:   poly-1
Predictores:   Velocidad crucero m/s
Coeficientes: [1.21, -0.0372]
Peso de predictores: [1]
Aeronaves entrenamiento: [Stalker XE, Stalker VXE30 Fuel Cell, Stalker VXE30 Battery, Aerosonde Mk. 4.7 Fixed Wing, Aerosonde Mk. 4.8 Fixed wing]
k:   5
Penalizacion_k:   0.272
Corr:   1
MAPE:   0.000
R2:   1
Confianza_LOOCV:   0.269
k_LOOCV:   5
Corr_LOOCV:   0.989
MAPE_LOOCV:   0.275
R2_LOOCV:   0.995
Método predictivo:   Correlacion
Advertencia:   Advertencia: El MAPE de validación es más de 5 veces mayor que el de entrenamiento (0.27% vs 0.00%). Posible sobreajuste.; 🟢 Modelo robusto
Familia:   F2
Iteración imputación:   1
variable_independiente_1:   23.1
</t>
      </text>
    </comment>
    <comment ref="J79" authorId="1" shapeId="0">
      <text>
        <t xml:space="preserve">
=== CORRELATION DETAILS ===
Aeronave:   Puma 3 AE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9" authorId="1" shapeId="0">
      <text>
        <t xml:space="preserve">=== IMPUTED VALUE ===
Aeronave:   Puma 3 AE
Parámetro:   Ancho del fuselaje
Valor imputado:   0.224
Confianza:   0.272
Método predictivo:   Correlacion
Iteración imputación:   1
variable_independiente_1:   23.1
=== CORRELATION DETAILS ===
Aeronave:   Puma 3 AE
Parámetro:   Ancho del fuselaje
Valor imputado:   0.224
Confianza:   0.272
Tipo Modelo:   poly-1
Predictores:   Velocidad crucero m/s
Coeficientes: [-0.1, 0.00265]
Peso de predictores: [1]
Aeronaves entrenamiento: [Stalker XE, Stalker VXE30 Fuel Cell, Stalker VXE30 Battery, Aerosonde Mk. 4.7 Fixed Wing, Aerosonde Mk. 4.8 Fixed wing]
k:   5
Penalizacion_k:   0.272
Corr:   1
MAPE:   0.000
R2:   1
Confianza_LOOCV:   0.253
k_LOOCV:   5
Corr_LOOCV:   0.93
MAPE_LOOCV:   1.52
R2_LOOCV:   0.961
Método predictivo:   Correlacion
Advertencia:   Advertencia: El MAPE de validación es más de 5 veces mayor que el de entrenamiento (1.52% vs 0.00%). Posible sobreajuste.; 🟢 Modelo robusto
Familia:   F2
Iteración imputación:   1
variable_independiente_1:   23.1
</t>
      </text>
    </comment>
    <comment ref="M79" authorId="1" shapeId="0">
      <text>
        <t xml:space="preserve">=== CÁLCULO APLICADO ===
formula:   R[km] = h*3600*V/1000
inputs:
    Autonomía[h]:   3
    Velocidad[m/s]:   23.1
</t>
      </text>
    </comment>
    <comment ref="O79" authorId="1" shapeId="0">
      <text>
        <t xml:space="preserve">
=== CORRELATION DETAILS ===
Aeronave:   Puma 3 AE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9" authorId="1" shapeId="0">
      <text>
        <t xml:space="preserve">
=== CORRELATION DETAILS ===
Aeronave:   Puma 3 AE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9" authorId="1" shapeId="0">
      <text>
        <t xml:space="preserve">
=== CORRELATION DETAILS ===
Aeronave:   Puma 3 AE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9" authorId="1" shapeId="0">
      <text>
        <t xml:space="preserve">
=== CORRELATION DETAILS ===
Aeronave:   Puma 3 AE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9" authorId="1" shapeId="0">
      <text>
        <t xml:space="preserve">
=== CORRELATION DETAILS ===
Aeronave:   Puma 3 AE
Parámetro:   Cuerda
Valor imputado:   nan
Confianza:   0
Corr:   0
k:   0
Tipo Modelo:   n/a
Predictores:   
Penalizacion_k:   0
Familia:   sin filtro
Método predictivo:   Correlacion
Advertencia:   ❌ No se permite imputación sin filtro para esta celda.
Iteración imputación:   3
</t>
      </text>
    </comment>
    <comment ref="U79" authorId="1" shapeId="0">
      <text>
        <t xml:space="preserve">
=== CORRELATION DETAILS ===
Aeronave:   Puma 3 AE
Parámetro:   Payload
Valor imputado:   nan
Confianza:   0
Corr:   0
k:   0
Tipo Modelo:   n/a
Predictores:   
Penalizacion_k:   0
Familia:   sin filtro
Método predictivo:   Correlacion
Advertencia:   ❌ No se permite imputación sin filtro para esta celda.
Iteración imputación:   3
</t>
      </text>
    </comment>
    <comment ref="V79" authorId="1" shapeId="0">
      <text>
        <t xml:space="preserve">
=== CORRELATION DETAILS ===
Aeronave:   Puma 3 AE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9" authorId="1" shapeId="0">
      <text>
        <t xml:space="preserve">
=== CORRELATION DETAILS ===
Aeronave:   Puma 3 AE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9" authorId="1" shapeId="0">
      <text>
        <t xml:space="preserve">
=== CORRELATION DETAILS ===
Aeronave:   Puma 3 AE
Parámetro:   Peso frame
Valor imputado:   nan
Confianza:   0
Corr:   0
k:   0
Tipo Modelo:   n/a
Predictores:   
Penalizacion_k:   0
Familia:   sin filtro
Método predictivo:   Correlacion
Advertencia:   ❌ No se permite imputación sin filtro para esta celda.
Iteración imputación:   3
</t>
      </text>
    </comment>
    <comment ref="Z79" authorId="1" shapeId="0">
      <text>
        <t xml:space="preserve">
=== CORRELATION DETAILS ===
Aeronave:   Puma 3 AE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9" authorId="1" shapeId="0">
      <text>
        <t xml:space="preserve">
=== CORRELATION DETAILS ===
Aeronave:   Puma 3 AE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79" authorId="1" shapeId="0">
      <text>
        <t xml:space="preserve">
=== CORRELATION DETAILS ===
Aeronave:   Puma 3 AE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9" authorId="1" shapeId="0">
      <text>
        <t xml:space="preserve">
=== CORRELATION DETAILS ===
Aeronave:   Puma 3 AE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9" authorId="1" shapeId="0">
      <text>
        <t xml:space="preserve">
=== CORRELATION DETAILS ===
Aeronave:   Puma 3 AE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9" authorId="1" shapeId="0">
      <text>
        <t xml:space="preserve">
=== CORRELATION DETAILS ===
Aeronave:   Puma 3 AE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9" authorId="1" shapeId="0">
      <text>
        <t xml:space="preserve">
=== CORRELATION DETAILS ===
Aeronave:   Puma 3 AE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9" authorId="1" shapeId="0">
      <text>
        <t xml:space="preserve">
=== CORRELATION DETAILS ===
Aeronave:   Puma 3 AE
Parámetro:   Consumo
Valor imputado:   nan
Confianza:   0
Corr:   0
k:   0
Tipo Modelo:   n/a
Predictores:   
Penalizacion_k:   0
Familia:   sin filtro
Método predictivo:   Correlacion
Advertencia:   ❌ No se permite imputación sin filtro para esta celda.
Iteración imputación:   3
</t>
      </text>
    </comment>
    <comment ref="AI79" authorId="1" shapeId="0">
      <text>
        <t xml:space="preserve">
=== CORRELATION DETAILS ===
Aeronave:   Puma 3 AE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9" authorId="1" shapeId="0">
      <text>
        <t xml:space="preserve">
=== CORRELATION DETAILS ===
Aeronave:   Puma 3 AE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9" authorId="1" shapeId="0">
      <text>
        <t xml:space="preserve">
=== CORRELATION DETAILS ===
Aeronave:   Puma 3 AE
Parámetro:   Precio
Valor imputado:   nan
Confianza:   0
Corr:   0
k:   0
Tipo Modelo:   n/a
Predictores:   
Penalizacion_k:   0
Familia:   sin filtro
Método predictivo:   Correlacion
Advertencia:   ❌ No se permite imputación sin filtro para esta celda.
Iteración imputación:   3
</t>
      </text>
    </comment>
    <comment ref="AL79" authorId="1" shapeId="0">
      <text>
        <t xml:space="preserve">
=== CORRELATION DETAILS ===
Aeronave:   Puma 3 AE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0" authorId="1" shapeId="0">
      <text>
        <t xml:space="preserve">
=== CORRELATION DETAILS ===
Aeronave:   Raven B (RQ-11B)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0" authorId="1" shapeId="0">
      <text>
        <t xml:space="preserve">
=== CORRELATION DETAILS ===
Aeronave:   Raven B (RQ-11B)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0" authorId="1" shapeId="0">
      <text>
        <t xml:space="preserve">
=== CORRELATION DETAILS ===
Aeronave:   Raven B (RQ-11B)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0" authorId="1" shapeId="0">
      <text>
        <t xml:space="preserve">
=== CORRELATION DETAILS ===
Aeronave:   Raven B (RQ-11B)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0" authorId="1" shapeId="0">
      <text>
        <t xml:space="preserve">
=== CORRELATION DETAILS ===
Aeronave:   Raven B (RQ-11B)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0" authorId="1" shapeId="0">
      <text>
        <t xml:space="preserve">
=== CORRELATION DETAILS ===
Aeronave:   Raven B (RQ-11B)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0" authorId="1" shapeId="0">
      <text>
        <t xml:space="preserve">
=== CORRELATION DETAILS ===
Aeronave:   Raven B (RQ-11B)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0" authorId="1" shapeId="0">
      <text>
        <t xml:space="preserve">
=== CORRELATION DETAILS ===
Aeronave:   Raven B (RQ-11B)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0" authorId="1" shapeId="0">
      <text>
        <t xml:space="preserve">
=== CORRELATION DETAILS ===
Aeronave:   Raven B (RQ-11B)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0" authorId="1" shapeId="0">
      <text>
        <t xml:space="preserve">
=== CORRELATION DETAILS ===
Aeronave:   Raven B (RQ-11B)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80" authorId="1" shapeId="0">
      <text>
        <t xml:space="preserve">
=== CORRELATION DETAILS ===
Aeronave:   Raven B (RQ-11B)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0" authorId="1" shapeId="0">
      <text>
        <t xml:space="preserve">
=== CORRELATION DETAILS ===
Aeronave:   Raven B (RQ-11B)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0" authorId="1" shapeId="0">
      <text>
        <t xml:space="preserve">
=== CORRELATION DETAILS ===
Aeronave:   Raven B (RQ-11B)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0" authorId="1" shapeId="0">
      <text>
        <t xml:space="preserve">
=== CORRELATION DETAILS ===
Aeronave:   Raven B (RQ-11B)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0" authorId="1" shapeId="0">
      <text>
        <t xml:space="preserve">
=== CORRELATION DETAILS ===
Aeronave:   Raven B (RQ-11B)
Parámetro:   Cuerda
Valor imputado:   nan
Confianza:   0
Corr:   0
k:   0
Tipo Modelo:   n/a
Predictores:   
Penalizacion_k:   0
Familia:   sin filtro
Método predictivo:   Correlacion
Advertencia:   ❌ No se permite imputación sin filtro para esta celda.
Iteración imputación:   3
</t>
      </text>
    </comment>
    <comment ref="U80" authorId="1" shapeId="0">
      <text>
        <t xml:space="preserve">
=== CORRELATION DETAILS ===
Aeronave:   Raven B (RQ-11B)
Parámetro:   Payload
Valor imputado:   nan
Confianza:   0
Corr:   0
k:   0
Tipo Modelo:   n/a
Predictores:   
Penalizacion_k:   0
Familia:   sin filtro
Método predictivo:   Correlacion
Advertencia:   ❌ No se permite imputación sin filtro para esta celda.
Iteración imputación:   3
</t>
      </text>
    </comment>
    <comment ref="V80" authorId="1" shapeId="0">
      <text>
        <t xml:space="preserve">
=== CORRELATION DETAILS ===
Aeronave:   Raven B (RQ-11B)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0" authorId="1" shapeId="0">
      <text>
        <t xml:space="preserve">
=== CORRELATION DETAILS ===
Aeronave:   Raven B (RQ-11B)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80" authorId="1" shapeId="0">
      <text>
        <t xml:space="preserve">
=== CORRELATION DETAILS ===
Aeronave:   Raven B (RQ-11B)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0" authorId="1" shapeId="0">
      <text>
        <t xml:space="preserve">
=== CORRELATION DETAILS ===
Aeronave:   Raven B (RQ-11B)
Parámetro:   Peso frame
Valor imputado:   nan
Confianza:   0
Corr:   0
k:   0
Tipo Modelo:   n/a
Predictores:   
Penalizacion_k:   0
Familia:   sin filtro
Método predictivo:   Correlacion
Advertencia:   ❌ No se permite imputación sin filtro para esta celda.
Iteración imputación:   3
</t>
      </text>
    </comment>
    <comment ref="Z80" authorId="1" shapeId="0">
      <text>
        <t xml:space="preserve">
=== CORRELATION DETAILS ===
Aeronave:   Raven B (RQ-11B)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0" authorId="1" shapeId="0">
      <text>
        <t xml:space="preserve">
=== CORRELATION DETAILS ===
Aeronave:   Raven B (RQ-11B)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80" authorId="1" shapeId="0">
      <text>
        <t xml:space="preserve">
=== CORRELATION DETAILS ===
Aeronave:   Raven B (RQ-11B)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0" authorId="1" shapeId="0">
      <text>
        <t xml:space="preserve">
=== CORRELATION DETAILS ===
Aeronave:   Raven B (RQ-11B)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0" authorId="1" shapeId="0">
      <text>
        <t xml:space="preserve">
=== CORRELATION DETAILS ===
Aeronave:   Raven B (RQ-11B)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0" authorId="1" shapeId="0">
      <text>
        <t xml:space="preserve">
=== CORRELATION DETAILS ===
Aeronave:   Raven B (RQ-11B)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0" authorId="1" shapeId="0">
      <text>
        <t xml:space="preserve">
=== CORRELATION DETAILS ===
Aeronave:   Raven B (RQ-11B)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0" authorId="1" shapeId="0">
      <text>
        <t xml:space="preserve">
=== CORRELATION DETAILS ===
Aeronave:   Raven B (RQ-11B)
Parámetro:   Consumo
Valor imputado:   nan
Confianza:   0
Corr:   0
k:   0
Tipo Modelo:   n/a
Predictores:   
Penalizacion_k:   0
Familia:   sin filtro
Método predictivo:   Correlacion
Advertencia:   ❌ No se permite imputación sin filtro para esta celda.
Iteración imputación:   3
</t>
      </text>
    </comment>
    <comment ref="AI80" authorId="1" shapeId="0">
      <text>
        <t xml:space="preserve">
=== CORRELATION DETAILS ===
Aeronave:   Raven B (RQ-11B)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0" authorId="1" shapeId="0">
      <text>
        <t xml:space="preserve">
=== CORRELATION DETAILS ===
Aeronave:   Raven B (RQ-11B)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0" authorId="1" shapeId="0">
      <text>
        <t xml:space="preserve">
=== CORRELATION DETAILS ===
Aeronave:   Raven B (RQ-11B)
Parámetro:   Precio
Valor imputado:   nan
Confianza:   0
Corr:   0
k:   0
Tipo Modelo:   n/a
Predictores:   
Penalizacion_k:   0
Familia:   sin filtro
Método predictivo:   Correlacion
Advertencia:   ❌ No se permite imputación sin filtro para esta celda.
Iteración imputación:   3
</t>
      </text>
    </comment>
    <comment ref="AL80" authorId="1" shapeId="0">
      <text>
        <t xml:space="preserve">
=== CORRELATION DETAILS ===
Aeronave:   Raven B (RQ-11B)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1" authorId="1" shapeId="0">
      <text>
        <t xml:space="preserve">
=== CORRELATION DETAILS ===
Aeronave:   Minibe (BETA UAS / PT Pindad)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1" authorId="1" shapeId="0">
      <text>
        <t xml:space="preserve">
=== CORRELATION DETAILS ===
Aeronave:   Minibe (BETA UAS / PT Pindad)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1" authorId="1" shapeId="0">
      <text>
        <t xml:space="preserve">
=== CORRELATION DETAILS ===
Aeronave:   Minibe (BETA UAS / PT Pindad)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1" authorId="1" shapeId="0">
      <text>
        <t xml:space="preserve">
=== CORRELATION DETAILS ===
Aeronave:   Minibe (BETA UAS / PT Pindad)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1" authorId="1" shapeId="0">
      <text>
        <t xml:space="preserve">
=== CORRELATION DETAILS ===
Aeronave:   Minibe (BETA UAS / PT Pindad)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1" authorId="1" shapeId="0">
      <text>
        <t xml:space="preserve">
=== CORRELATION DETAILS ===
Aeronave:   Minibe (BETA UAS / PT Pindad)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1" authorId="1" shapeId="0">
      <text>
        <t xml:space="preserve">
=== CORRELATION DETAILS ===
Aeronave:   Minibe (BETA UAS / PT Pindad)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1" authorId="1" shapeId="0">
      <text>
        <t xml:space="preserve">
=== CORRELATION DETAILS ===
Aeronave:   Minibe (BETA UAS / PT Pindad)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1" authorId="1" shapeId="0">
      <text>
        <t xml:space="preserve">
=== CORRELATION DETAILS ===
Aeronave:   Minibe (BETA UAS / PT Pindad)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1" authorId="1" shapeId="0">
      <text>
        <t xml:space="preserve">
=== CORRELATION DETAILS ===
Aeronave:   Minibe (BETA UAS / PT Pindad)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81" authorId="1" shapeId="0">
      <text>
        <t xml:space="preserve">
=== CORRELATION DETAILS ===
Aeronave:   Minibe (BETA UAS / PT Pindad)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1" authorId="1" shapeId="0">
      <text>
        <t xml:space="preserve">
=== CORRELATION DETAILS ===
Aeronave:   Minibe (BETA UAS / PT Pindad)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1" authorId="1" shapeId="0">
      <text>
        <t xml:space="preserve">
=== CORRELATION DETAILS ===
Aeronave:   Minibe (BETA UAS / PT Pindad)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1" authorId="1" shapeId="0">
      <text>
        <t xml:space="preserve">
=== CORRELATION DETAILS ===
Aeronave:   Minibe (BETA UAS / PT Pindad)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1" authorId="1" shapeId="0">
      <text>
        <t xml:space="preserve">
=== CORRELATION DETAILS ===
Aeronave:   Minibe (BETA UAS / PT Pindad)
Parámetro:   Cuerda
Valor imputado:   nan
Confianza:   0
Corr:   0
k:   0
Tipo Modelo:   n/a
Predictores:   
Penalizacion_k:   0
Familia:   sin filtro
Método predictivo:   Correlacion
Advertencia:   ❌ No se permite imputación sin filtro para esta celda.
Iteración imputación:   3
</t>
      </text>
    </comment>
    <comment ref="V81" authorId="1" shapeId="0">
      <text>
        <t xml:space="preserve">
=== CORRELATION DETAILS ===
Aeronave:   Minibe (BETA UAS / PT Pindad)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1" authorId="1" shapeId="0">
      <text>
        <t xml:space="preserve">
=== CORRELATION DETAILS ===
Aeronave:   Minibe (BETA UAS / PT Pindad)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81" authorId="1" shapeId="0">
      <text>
        <t xml:space="preserve">
=== CORRELATION DETAILS ===
Aeronave:   Minibe (BETA UAS / PT Pindad)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1" authorId="1" shapeId="0">
      <text>
        <t xml:space="preserve">
=== CORRELATION DETAILS ===
Aeronave:   Minibe (BETA UAS / PT Pindad)
Parámetro:   Peso frame
Valor imputado:   nan
Confianza:   0
Corr:   0
k:   0
Tipo Modelo:   n/a
Predictores:   
Penalizacion_k:   0
Familia:   sin filtro
Método predictivo:   Correlacion
Advertencia:   ❌ No se permite imputación sin filtro para esta celda.
Iteración imputación:   3
</t>
      </text>
    </comment>
    <comment ref="Z81" authorId="1" shapeId="0">
      <text>
        <t xml:space="preserve">
=== CORRELATION DETAILS ===
Aeronave:   Minibe (BETA UAS / PT Pindad)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1" authorId="1" shapeId="0">
      <text>
        <t xml:space="preserve">=== CÁLCULO APLICADO ===
formula:   W0 = MTOW - Payload
inputs:
    MTOW:   6
    Payload:   0.8
</t>
      </text>
    </comment>
    <comment ref="AB81" authorId="1" shapeId="0">
      <text>
        <t xml:space="preserve">
=== CORRELATION DETAILS ===
Aeronave:   Minibe (BETA UAS / PT Pindad)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1" authorId="1" shapeId="0">
      <text>
        <t xml:space="preserve">
=== CORRELATION DETAILS ===
Aeronave:   Minibe (BETA UAS / PT Pindad)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1" authorId="1" shapeId="0">
      <text>
        <t xml:space="preserve">
=== CORRELATION DETAILS ===
Aeronave:   Minibe (BETA UAS / PT Pindad)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1" authorId="1" shapeId="0">
      <text>
        <t xml:space="preserve">
=== CORRELATION DETAILS ===
Aeronave:   Minibe (BETA UAS / PT Pindad)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1" authorId="1" shapeId="0">
      <text>
        <t xml:space="preserve">
=== CORRELATION DETAILS ===
Aeronave:   Minibe (BETA UAS / PT Pindad)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1" authorId="1" shapeId="0">
      <text>
        <t xml:space="preserve">
=== CORRELATION DETAILS ===
Aeronave:   Minibe (BETA UAS / PT Pindad)
Parámetro:   Consumo
Valor imputado:   nan
Confianza:   0
Corr:   0
k:   0
Tipo Modelo:   n/a
Predictores:   
Penalizacion_k:   0
Familia:   sin filtro
Método predictivo:   Correlacion
Advertencia:   ❌ No se permite imputación sin filtro para esta celda.
Iteración imputación:   3
</t>
      </text>
    </comment>
    <comment ref="AI81" authorId="1" shapeId="0">
      <text>
        <t xml:space="preserve">
=== CORRELATION DETAILS ===
Aeronave:   Minibe (BETA UAS / PT Pindad)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1" authorId="1" shapeId="0">
      <text>
        <t xml:space="preserve">
=== CORRELATION DETAILS ===
Aeronave:   Minibe (BETA UAS / PT Pindad)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1" authorId="1" shapeId="0">
      <text>
        <t xml:space="preserve">
=== CORRELATION DETAILS ===
Aeronave:   Minibe (BETA UAS / PT Pindad)
Parámetro:   Precio
Valor imputado:   nan
Confianza:   0
Corr:   0
k:   0
Tipo Modelo:   n/a
Predictores:   
Penalizacion_k:   0
Familia:   sin filtro
Método predictivo:   Correlacion
Advertencia:   ❌ No se permite imputación sin filtro para esta celda.
Iteración imputación:   3
</t>
      </text>
    </comment>
    <comment ref="AL81" authorId="1" shapeId="0">
      <text>
        <t xml:space="preserve">
=== CORRELATION DETAILS ===
Aeronave:   Minibe (BETA UAS / PT Pindad)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2" authorId="1" shapeId="0">
      <text>
        <t xml:space="preserve">
=== CORRELATION DETAILS ===
Aeronave:   Raybe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2" authorId="1" shapeId="0">
      <text>
        <t xml:space="preserve">
=== CORRELATION DETAILS ===
Aeronave:   Raybe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2" authorId="1" shapeId="0">
      <text>
        <t xml:space="preserve">=== CÁLCULO APLICADO ===
formula:   TAS_5000 = IAS / sqrt(σ_5000)
inputs:
    IAS:   17
    σ_5000:   0.862
</t>
      </text>
    </comment>
    <comment ref="E82" authorId="1" shapeId="0">
      <text>
        <t xml:space="preserve">
=== CORRELATION DETAILS ===
Aeronave:   Raybe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G82" authorId="1" shapeId="0">
      <text>
        <t xml:space="preserve">
=== CORRELATION DETAILS ===
Aeronave:   Raybe (BETA UAS)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2" authorId="1" shapeId="0">
      <text>
        <t xml:space="preserve">
=== CORRELATION DETAILS ===
Aeronave:   Raybe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2" authorId="1" shapeId="0">
      <text>
        <t xml:space="preserve">
=== CORRELATION DETAILS ===
Aeronave:   Raybe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2" authorId="1" shapeId="0">
      <text>
        <t xml:space="preserve">
=== CORRELATION DETAILS ===
Aeronave:   Raybe (BETA 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L82" authorId="2" shapeId="0">
      <text>
        <t>[Verificación] MTOW ≈ W0 + Payload
[Fórmula] Δrel = |A − B| / max(|A|, |B|, 1e−12) con A=MTOW, B=W0+Payload
[Normalización] max(|A|,|B|) hace el error relativo, simétrico y estable (evita división por 0).
[Sustitución] |5.2 − (3.65 + 0.5)| / max(|5.2|, |4.15|, 1e−12)
[Resultado] Δrel=0.201923 (20.19%); severidad: no_confiable</t>
      </text>
    </comment>
    <comment ref="M82" authorId="1" shapeId="0">
      <text>
        <t xml:space="preserve">=== CÁLCULO APLICADO ===
formula:   R[km] = h*3600*V/1000
inputs:
    Autonomía[h]:   0.83
    Velocidad[m/s]:   17
</t>
      </text>
    </comment>
    <comment ref="P82" authorId="1" shapeId="0">
      <text>
        <t xml:space="preserve">=== IMPUTED VALUE ===
Aeronave:   Raybe (BETA UAS)
Parámetro:   Velocidad de pérdida (m/s CAS)
Valor imputado:   14
Confianza:   0.442
Método predictivo:   Correlacion
Iteración imputación:   1
variable_independiente_1:   14
=== CORRELATION DETAILS ===
Aeronave:   Raybe (BETA UAS)
Parámetro:   Velocidad de pérdida (m/s CAS)
Valor imputado:   14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14
</t>
      </text>
    </comment>
    <comment ref="Q82" authorId="1" shapeId="0">
      <text>
        <t xml:space="preserve">
=== CORRELATION DETAILS ===
Aeronave:   Raybe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2" authorId="1" shapeId="0">
      <text>
        <t xml:space="preserve">
=== CORRELATION DETAILS ===
Aeronave:   Raybe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2" authorId="1" shapeId="0">
      <text>
        <t xml:space="preserve">
=== CORRELATION DETAILS ===
Aeronave:   Raybe (BETA UAS)
Parámetro:   Cuerda
Valor imputado:   nan
Confianza:   0
Corr:   0
k:   0
Tipo Modelo:   n/a
Predictores:   
Penalizacion_k:   0
Familia:   sin filtro
Método predictivo:   Correlacion
Advertencia:   ❌ No se permite imputación sin filtro para esta celda.
Iteración imputación:   3
</t>
      </text>
    </comment>
    <comment ref="U82" authorId="2" shapeId="0">
      <text>
        <t>[Verificación] MTOW ≈ W0 + Payload
[Fórmula] Δrel = |A − B| / max(|A|, |B|, 1e−12) con A=MTOW, B=W0+Payload
[Normalización] max(|A|,|B|) hace el error relativo, simétrico y estable (evita división por 0).
[Sustitución] |5.2 − (3.65 + 0.5)| / max(|5.2|, |4.15|, 1e−12)
[Resultado] Δrel=0.201923 (20.19%); severidad: no_confiable</t>
      </text>
    </comment>
    <comment ref="V82" authorId="1" shapeId="0">
      <text>
        <t xml:space="preserve">
=== CORRELATION DETAILS ===
Aeronave:   Raybe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2" authorId="1" shapeId="0">
      <text>
        <t xml:space="preserve">
=== CORRELATION DETAILS ===
Aeronave:   Raybe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2" authorId="1" shapeId="0">
      <text>
        <t xml:space="preserve">
=== CORRELATION DETAILS ===
Aeronave:   Raybe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2" authorId="1" shapeId="0">
      <text>
        <t xml:space="preserve">
=== CORRELATION DETAILS ===
Aeronave:   Raybe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2" authorId="2" shapeId="0">
      <text>
        <t>[Verificación] MTOW ≈ W0 + Payload
[Fórmula] Δrel = |A − B| / max(|A|, |B|, 1e−12) con A=MTOW, B=W0+Payload
[Normalización] max(|A|,|B|) hace el error relativo, simétrico y estable (evita división por 0).
[Sustitución] |5.2 − (3.65 + 0.5)| / max(|5.2|, |4.15|, 1e−12)
[Resultado] Δrel=0.201923 (20.19%); severidad: no_confiable</t>
      </text>
    </comment>
    <comment ref="AB82" authorId="1" shapeId="0">
      <text>
        <t xml:space="preserve">
=== CORRELATION DETAILS ===
Aeronave:   Raybe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2" authorId="1" shapeId="0">
      <text>
        <t xml:space="preserve">
=== CORRELATION DETAILS ===
Aeronave:   Raybe (BETA UAS)
Parámetro:   Maximum Crosswind (sostenido)
Valor imputado:   nan
Confianza:   0
Corr:   0
k:   0
Tipo Modelo:   n/a
Predictores:   
Penalizacion_k:   0
Familia:   F2
Método predictivo:   Correlacion
Advertencia:   ❌ Todos los modelos descartados por LOOCV (MAPE &gt; 12.5% o R2 &lt;= 0.45)
Iteración imputación:   3
</t>
      </text>
    </comment>
    <comment ref="AE82" authorId="1" shapeId="0">
      <text>
        <t xml:space="preserve">
=== CORRELATION DETAILS ===
Aeronave:   Raybe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2" authorId="1" shapeId="0">
      <text>
        <t xml:space="preserve">
=== CORRELATION DETAILS ===
Aeronave:   Raybe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2" authorId="1" shapeId="0">
      <text>
        <t xml:space="preserve">
=== CORRELATION DETAILS ===
Aeronave:   Raybe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2" authorId="1" shapeId="0">
      <text>
        <t xml:space="preserve">
=== CORRELATION DETAILS ===
Aeronave:   Raybe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2" authorId="1" shapeId="0">
      <text>
        <t xml:space="preserve">
=== CORRELATION DETAILS ===
Aeronave:   Raybe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2" authorId="1" shapeId="0">
      <text>
        <t xml:space="preserve">
=== CORRELATION DETAILS ===
Aeronave:   Raybe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2" authorId="1" shapeId="0">
      <text>
        <t xml:space="preserve">
=== CORRELATION DETAILS ===
Aeronave:   Raybe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2" authorId="1" shapeId="0">
      <text>
        <t xml:space="preserve">
=== CORRELATION DETAILS ===
Aeronave:   Raybe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3" authorId="1" shapeId="0">
      <text>
        <t xml:space="preserve">
=== CORRELATION DETAILS ===
Aeronave:   Ruppel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3" authorId="1" shapeId="0">
      <text>
        <t xml:space="preserve">
=== CORRELATION DETAILS ===
Aeronave:   Ruppel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3" authorId="1" shapeId="0">
      <text>
        <t xml:space="preserve">
=== CORRELATION DETAILS ===
Aeronave:   Ruppel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3" authorId="1" shapeId="0">
      <text>
        <t xml:space="preserve">
=== CORRELATION DETAILS ===
Aeronave:   Ruppel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3" authorId="1" shapeId="0">
      <text>
        <t xml:space="preserve">
=== CORRELATION DETAILS ===
Aeronave:   Ruppel (BETA UAS)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3" authorId="1" shapeId="0">
      <text>
        <t xml:space="preserve">=== IMPUTED VALUE ===
Aeronave:   Ruppel (BETA UAS)
Parámetro:   Área del ala
Valor imputado:   0.964
Confianza:   0.272
Método predictivo:   Correlacion
Iteración imputación:   1
variable_independiente_1:   2.3
=== CORRELATION DETAILS ===
Aeronave:   Ruppel (BETA UAS)
Parámetro:   Área del ala
Valor imputado:   0.964
Confianza:   0.272
Tipo Modelo:   poly-1
Predictores:   Longitud del fuselaje
Coeficientes: [-1.34, 0.411]
Peso de predictores: [1]
Aeronaves entrenamiento: [Stalker XE, Stalker VXE30 Fuel Cell, Stalker VXE30 Battery, Aerosonde Mk. 4.7 Fixed Wing, Aerosonde Mk. 4.8 Fixed wing]
k:   5
Penalizacion_k:   0.272
Corr:   1
MAPE:   0.000
R2:   1
Confianza_LOOCV:   0.234
k_LOOCV:   5
Corr_LOOCV:   0.86
MAPE_LOOCV:   3.3
R2_LOOCV:   0.939
Método predictivo:   Correlacion
Advertencia:   Advertencia: El MAPE de validación es más de 5 veces mayor que el de entrenamiento (3.30% vs 0.00%). Posible sobreajuste.; 🟢 Modelo robusto
Familia:   F2
Iteración imputación:   1
variable_independiente_1:   2.3
</t>
      </text>
    </comment>
    <comment ref="H83" authorId="1" shapeId="0">
      <text>
        <t>=== IMPUTED VALUE ===
Aeronave:   Ruppel (BETA UAS)
Parámetro:   Relación de aspecto del ala
Valor imputado:   13.2
Confianza:   0.267
Método predictivo:   Correlacion
Iteración imputación:   1
variable_independiente_1:   10
=== CORRELATION DETAILS ===
Aeronave:   Ruppel (BETA UAS)
Parámetro:   Relación de aspecto del ala
Valor imputado:   13.2
Confianza:   0.267
Tipo Modelo:   pot-1
Predictores:   Payload
Coeficientes: [-0.109]
Peso de predictores: [1]
Aeronaves entrenamiento: [Stalker XE, Stalker VXE30 Fuel Cell, Stalker VXE30 Battery, Aerosonde Mk. 4.7 Fixed Wing, Aerosonde Mk. 4.8 Fixed wing]
k:   5
Penalizacion_k:   0.272
Corr:   0.982
MAPE:   0.486
R2:   0.996
Confianza_LOOCV:   0.238
k_LOOCV:   5
Corr_LOOCV:   0.875
MAPE_LOOCV:   2.3
R2_LOOCV:   0.903
Método predictivo:   Correlacion
Advertencia:   🟢 Modelo robusto
Familia:   F2
Iteración imputación:   1
variable_independiente_1:   10
[Verificación] AR ≈ b / c
[Fórmula] Δrel = |A − B| / max(|A|, |B|, 1e−12) con A=AR, B=b/c
[Normalización] Error relativo simétrico para escalas comparables.
[Sustitución] |13.1653 − (3.9/0.326026)| / max(|13.1653|, |11.9623|, 1e−12)
[Resultado] Δrel=0.0913806 (9.14%); severidad: ajuste</t>
      </text>
    </comment>
    <comment ref="J83" authorId="1" shapeId="0">
      <text>
        <t xml:space="preserve">
=== CORRELATION DETAILS ===
Aeronave:   Ruppel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3" authorId="1" shapeId="0">
      <text>
        <t xml:space="preserve">=== IMPUTED VALUE ===
Aeronave:   Ruppel (BETA UAS)
Parámetro:   Ancho del fuselaje
Valor imputado:   0.258
Confianza:   0.251
Método predictivo:   Correlacion
Iteración imputación:   1
variable_independiente_1:   10
=== CORRELATION DETAILS ===
Aeronave:   Ruppel (BETA UAS)
Parámetro:   Ancho del fuselaje
Valor imputado:   0.258
Confianza:   0.251
Tipo Modelo:   log-1
Predictores:   Payload
Coeficientes: [0.0392]
Peso de predictores: [1]
Aeronaves entrenamiento: [Stalker XE, Stalker VXE30 Fuel Cell, Stalker VXE30 Battery, Aerosonde Mk. 4.7 Fixed Wing, Aerosonde Mk. 4.8 Fixed wing]
k:   5
Penalizacion_k:   0.272
Corr:   0.925
MAPE:   2.01
R2:   0.983
Confianza_LOOCV:   0.212
k_LOOCV:   5
Corr_LOOCV:   0.78
MAPE_LOOCV:   4.76
R2_LOOCV:   0.877
Método predictivo:   Correlacion
Advertencia:   🟢 Modelo robusto
Familia:   F2
Iteración imputación:   1
variable_independiente_1:   10
</t>
      </text>
    </comment>
    <comment ref="M83" authorId="1" shapeId="0">
      <text>
        <t xml:space="preserve">
=== CORRELATION DETAILS ===
Aeronave:   Ruppel (BETA UAS)
Parámetro:   Alcance de la aeronave
Valor imputado:   nan
Confianza:   0
Corr:   0
k:   0
Tipo Modelo:   n/a
Predictores:   
Penalizacion_k:   0
Familia:   sin filtro
Método predictivo:   Correlacion
Advertencia:   ❌ No se permite imputación sin filtro para esta celda.
Iteración imputación:   3
</t>
      </text>
    </comment>
    <comment ref="O83" authorId="1" shapeId="0">
      <text>
        <t xml:space="preserve">
=== CORRELATION DETAILS ===
Aeronave:   Ruppel (BETA UAS)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3" authorId="1" shapeId="0">
      <text>
        <t xml:space="preserve">
=== CORRELATION DETAILS ===
Aeronave:   Ruppel (BETA 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3" authorId="1" shapeId="0">
      <text>
        <t xml:space="preserve">
=== CORRELATION DETAILS ===
Aeronave:   Ruppel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3" authorId="1" shapeId="0">
      <text>
        <t xml:space="preserve">
=== CORRELATION DETAILS ===
Aeronave:   Ruppel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83" authorId="2" shapeId="0">
      <text>
        <t>[Verificación] AR ≈ b / c
[Fórmula] Δrel = |A − B| / max(|A|, |B|, 1e−12) con A=AR, B=b/c
[Normalización] Error relativo simétrico para escalas comparables.
[Sustitución] |13.1653 − (3.9/0.326026)| / max(|13.1653|, |11.9623|, 1e−12)
[Resultado] Δrel=0.0913806 (9.14%); severidad: ajuste</t>
      </text>
    </comment>
    <comment ref="T83" authorId="1" shapeId="0">
      <text>
        <t>=== IMPUTED VALUE ===
Aeronave:   Ruppel (BETA UAS)
Parámetro:   Cuerda
Valor imputado:   0.326
Confianza:   0.255
Método predictivo:   Correlacion
Iteración imputación:   1
variable_independiente_1:   20
=== CORRELATION DETAILS ===
Aeronave:   Ruppel (BETA UAS)
Parámetro:   Cuerda
Valor imputado:   0.326
Confianza:   0.255
Tipo Modelo:   poly-1
Predictores:   Peso Vacio (MTOW - payload)
Coeficientes: [0.0184, -0.000299]
Peso de predictores: [1]
Aeronaves entrenamiento: [Stalker XE, Stalker VXE30 Fuel Cell, Stalker VXE30 Battery, Aerosonde Mk. 4.7 Fixed Wing, Aerosonde Mk. 4.8 Fixed wing]
k:   5
Penalizacion_k:   0.272
Corr:   0.937
MAPE:   1.6
R2:   0.98
Confianza_LOOCV:   0.165
k_LOOCV:   5
Corr_LOOCV:   0.605
MAPE_LOOCV:   6.8
R2_LOOCV:   0.664
Método predictivo:   Correlacion
Advertencia:   🟢 Modelo robusto
Familia:   F2
Iteración imputación:   1
variable_independiente_1:   20
[Verificación] AR ≈ b / c
[Fórmula] Δrel = |A − B| / max(|A|, |B|, 1e−12) con A=AR, B=b/c
[Normalización] Error relativo simétrico para escalas comparables.
[Sustitución] |13.1653 − (3.9/0.326026)| / max(|13.1653|, |11.9623|, 1e−12)
[Resultado] Δrel=0.0913806 (9.14%); severidad: ajuste</t>
      </text>
    </comment>
    <comment ref="V83" authorId="1" shapeId="0">
      <text>
        <t xml:space="preserve">
=== CORRELATION DETAILS ===
Aeronave:   Ruppel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3" authorId="1" shapeId="0">
      <text>
        <t xml:space="preserve">
=== CORRELATION DETAILS ===
Aeronave:   Ruppel (BETA UAS)
Parámetro:   Velocidad crucero m/s
Valor imputado:   nan
Confianza:   0
Corr:   0
k:   0
Tipo Modelo:   n/a
Predictores:   
Penalizacion_k:   0
Familia:   sin filtro
Método predictivo:   Correlacion
Advertencia:   ❌ No se permite imputación sin filtro para esta celda.
Iteración imputación:   3
</t>
      </text>
    </comment>
    <comment ref="X83" authorId="1" shapeId="0">
      <text>
        <t xml:space="preserve">
=== CORRELATION DETAILS ===
Aeronave:   Ruppel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3" authorId="1" shapeId="0">
      <text>
        <t xml:space="preserve">
=== CORRELATION DETAILS ===
Aeronave:   Ruppel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3" authorId="1" shapeId="0">
      <text>
        <t xml:space="preserve">
=== CORRELATION DETAILS ===
Aeronave:   Ruppel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3" authorId="1" shapeId="0">
      <text>
        <t xml:space="preserve">=== CÁLCULO APLICADO ===
formula:   W0 = MTOW - Payload
inputs:
    MTOW:   30
    Payload:   10
</t>
      </text>
    </comment>
    <comment ref="AB83" authorId="1" shapeId="0">
      <text>
        <t xml:space="preserve">
=== CORRELATION DETAILS ===
Aeronave:   Ruppel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3" authorId="1" shapeId="0">
      <text>
        <t xml:space="preserve">
=== CORRELATION DETAILS ===
Aeronave:   Ruppel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3" authorId="1" shapeId="0">
      <text>
        <t xml:space="preserve">
=== CORRELATION DETAILS ===
Aeronave:   Ruppel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3" authorId="1" shapeId="0">
      <text>
        <t xml:space="preserve">
=== CORRELATION DETAILS ===
Aeronave:   Ruppel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3" authorId="1" shapeId="0">
      <text>
        <t xml:space="preserve">
=== CORRELATION DETAILS ===
Aeronave:   Ruppel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3" authorId="1" shapeId="0">
      <text>
        <t xml:space="preserve">
=== CORRELATION DETAILS ===
Aeronave:   Ruppel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3" authorId="1" shapeId="0">
      <text>
        <t xml:space="preserve">
=== CORRELATION DETAILS ===
Aeronave:   Ruppel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3" authorId="1" shapeId="0">
      <text>
        <t xml:space="preserve">
=== CORRELATION DETAILS ===
Aeronave:   Ruppel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3" authorId="1" shapeId="0">
      <text>
        <t xml:space="preserve">
=== CORRELATION DETAILS ===
Aeronave:   Ruppel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3" authorId="1" shapeId="0">
      <text>
        <t xml:space="preserve">
=== CORRELATION DETAILS ===
Aeronave:   Ruppel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4" authorId="1" shapeId="0">
      <text>
        <t xml:space="preserve">
=== CORRELATION DETAILS ===
Aeronave:   Omnibe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4" authorId="1" shapeId="0">
      <text>
        <t xml:space="preserve">
=== CORRELATION DETAILS ===
Aeronave:   Omnibe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4" authorId="1" shapeId="0">
      <text>
        <t xml:space="preserve">=== CÁLCULO APLICADO ===
formula:   TAS_5000 = IAS / sqrt(σ_5000)
inputs:
    IAS:   19
    σ_5000:   0.862
</t>
      </text>
    </comment>
    <comment ref="E84" authorId="1" shapeId="0">
      <text>
        <t xml:space="preserve">
=== CORRELATION DETAILS ===
Aeronave:   Omnibe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G84" authorId="1" shapeId="0">
      <text>
        <t xml:space="preserve">=== IMPUTED VALUE ===
Aeronave:   Omnibe (BETA UAS)
Parámetro:   Área del ala
Valor imputado:   1.31
Confianza:   0.272
Método predictivo:   Correlacion
Iteración imputación:   1
variable_independiente_1:   28
=== CORRELATION DETAILS ===
Aeronave:   Omnibe (BETA UAS)
Parámetro:   Área del ala
Valor imputado:   1.31
Confianza:   0.272
Tipo Modelo:   poly-1
Predictores:   Velocidad máxima (m/s IAS)
Coeficientes: [0.093, -0.000793]
Peso de predictores: [1]
Aeronaves entrenamiento: [Stalker XE, Stalker VXE30 Fuel Cell, Stalker VXE30 Battery, Aerosonde Mk. 4.7 Fixed Wing, Aerosonde Mk. 4.8 Fixed wing]
k:   5
Penalizacion_k:   0.272
Corr:   1
MAPE:   0.000
R2:   1
Confianza_LOOCV:   0.252
k_LOOCV:   5
Corr_LOOCV:   0.929
MAPE_LOOCV:   1.85
R2_LOOCV:   0.981
Método predictivo:   Correlacion
Advertencia:   Advertencia: El MAPE de validación es más de 5 veces mayor que el de entrenamiento (1.85% vs 0.00%). Posible sobreajuste.; 🟢 Modelo robusto
Familia:   F2
Iteración imputación:   1
variable_independiente_1:   28
</t>
      </text>
    </comment>
    <comment ref="H84" authorId="1" shapeId="0">
      <text>
        <t>=== IMPUTED VALUE ===
Aeronave:   Omnibe (BETA UAS)
Parámetro:   Relación de aspecto del ala
Valor imputado:   15.1
Confianza:   0.272
Método predictivo:   Correlacion
Iteración imputación:   1
variable_independiente_1:   19
=== CORRELATION DETAILS ===
Aeronave:   Omnibe (BETA UAS)
Parámetro:   Relación de aspecto del ala
Valor imputado:   15.1
Confianza:   0.272
Tipo Modelo:   poly-1
Predictores:   Velocidad crucero m/s
Coeficientes: [1.21, -0.0372]
Peso de predictores: [1]
Aeronaves entrenamiento: [Stalker XE, Stalker VXE30 Fuel Cell, Stalker VXE30 Battery, Aerosonde Mk. 4.7 Fixed Wing, Aerosonde Mk. 4.8 Fixed wing]
k:   5
Penalizacion_k:   0.272
Corr:   1
MAPE:   0.000
R2:   1
Confianza_LOOCV:   0.269
k_LOOCV:   5
Corr_LOOCV:   0.989
MAPE_LOOCV:   0.275
R2_LOOCV:   0.995
Método predictivo:   Correlacion
Advertencia:   Advertencia: El MAPE de validación es más de 5 veces mayor que el de entrenamiento (0.27% vs 0.00%). Posible sobreajuste.; 🟢 Modelo robusto
Familia:   F2
Iteración imputación:   1
variable_independiente_1:   19
[Verificación] AR ≈ b / c
[Fórmula] Δrel = |A − B| / max(|A|, |B|, 1e−12) con A=AR, B=b/c
[Normalización] Error relativo simétrico para escalas comparables.
[Sustitución] |15.0521 − (2.9/0.344178)| / max(|15.0521|, |8.42586|, 1e−12)
[Resultado] Δrel=0.440221 (44.02%); severidad: no_confiable</t>
      </text>
    </comment>
    <comment ref="J84" authorId="1" shapeId="0">
      <text>
        <t xml:space="preserve">
=== CORRELATION DETAILS ===
Aeronave:   Omnibe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4" authorId="1" shapeId="0">
      <text>
        <t xml:space="preserve">=== IMPUTED VALUE ===
Aeronave:   Omnibe (BETA UAS)
Parámetro:   Ancho del fuselaje
Valor imputado:   0.179
Confianza:   0.272
Método predictivo:   Correlacion
Iteración imputación:   1
variable_independiente_1:   19
=== CORRELATION DETAILS ===
Aeronave:   Omnibe (BETA UAS)
Parámetro:   Ancho del fuselaje
Valor imputado:   0.179
Confianza:   0.272
Tipo Modelo:   poly-1
Predictores:   Velocidad crucero m/s
Coeficientes: [-0.1, 0.00265]
Peso de predictores: [1]
Aeronaves entrenamiento: [Stalker XE, Stalker VXE30 Fuel Cell, Stalker VXE30 Battery, Aerosonde Mk. 4.7 Fixed Wing, Aerosonde Mk. 4.8 Fixed wing]
k:   5
Penalizacion_k:   0.272
Corr:   1
MAPE:   0.000
R2:   1
Confianza_LOOCV:   0.253
k_LOOCV:   5
Corr_LOOCV:   0.93
MAPE_LOOCV:   1.52
R2_LOOCV:   0.961
Método predictivo:   Correlacion
Advertencia:   Advertencia: El MAPE de validación es más de 5 veces mayor que el de entrenamiento (1.52% vs 0.00%). Posible sobreajuste.; 🟢 Modelo robusto
Familia:   F2
Iteración imputación:   1
variable_independiente_1:   19
</t>
      </text>
    </comment>
    <comment ref="L84" authorId="2" shapeId="0">
      <text>
        <t>[Verificación] MTOW ≈ W0 + Payload
[Fórmula] Δrel = |A − B| / max(|A|, |B|, 1e−12) con A=MTOW, B=W0+Payload
[Normalización] max(|A|,|B|) hace el error relativo, simétrico y estable (evita división por 0).
[Sustitución] |12 − (7 + 1.5)| / max(|12|, |8.5|, 1e−12)
[Resultado] Δrel=0.291667 (29.17%); severidad: no_confiable</t>
      </text>
    </comment>
    <comment ref="M84" authorId="1" shapeId="0">
      <text>
        <t xml:space="preserve">=== CÁLCULO APLICADO ===
formula:   R[km] = h*3600*V/1000
inputs:
    Autonomía[h]:   1.5
    Velocidad[m/s]:   19
</t>
      </text>
    </comment>
    <comment ref="P84" authorId="1" shapeId="0">
      <text>
        <t xml:space="preserve">
=== CORRELATION DETAILS ===
Aeronave:   Omnibe (BETA 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4" authorId="1" shapeId="0">
      <text>
        <t xml:space="preserve">
=== CORRELATION DETAILS ===
Aeronave:   Omnibe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4" authorId="1" shapeId="0">
      <text>
        <t xml:space="preserve">
=== CORRELATION DETAILS ===
Aeronave:   Omnibe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84" authorId="2" shapeId="0">
      <text>
        <t>[Verificación] AR ≈ b / c
[Fórmula] Δrel = |A − B| / max(|A|, |B|, 1e−12) con A=AR, B=b/c
[Normalización] Error relativo simétrico para escalas comparables.
[Sustitución] |15.0521 − (2.9/0.344178)| / max(|15.0521|, |8.42586|, 1e−12)
[Resultado] Δrel=0.440221 (44.02%); severidad: no_confiable</t>
      </text>
    </comment>
    <comment ref="T84" authorId="1" shapeId="0">
      <text>
        <t>=== IMPUTED VALUE ===
Aeronave:   Omnibe (BETA UAS)
Parámetro:   Cuerda
Valor imputado:   0.344
Confianza:   0.272
Método predictivo:   Correlacion
Iteración imputación:   1
variable_independiente_1:   28
=== CORRELATION DETAILS ===
Aeronave:   Omnibe (BETA UAS)
Parámetro:   Cuerda
Valor imputado:   0.344
Confianza:   0.272
Tipo Modelo:   poly-1
Predictores:   Velocidad máxima (m/s IAS)
Coeficientes: [0.055, -0.000871]
Peso de predictores: [1]
Aeronaves entrenamiento: [Stalker XE, Stalker VXE30 Fuel Cell, Stalker VXE30 Battery, Aerosonde Mk. 4.7 Fixed Wing, Aerosonde Mk. 4.8 Fixed wing]
k:   5
Penalizacion_k:   0.272
Corr:   1
MAPE:   0.000
R2:   1
Confianza_LOOCV:   0.166
k_LOOCV:   5
Corr_LOOCV:   0.609
MAPE_LOOCV:   5.13
R2_LOOCV:   0.56
Método predictivo:   Correlacion
Advertencia:   Advertencia: El MAPE de validación es más de 5 veces mayor que el de entrenamiento (5.13% vs 0.00%). Posible sobreajuste.; 🟡 Modelo no robusto
Familia:   F2
Iteración imputación:   1
variable_independiente_1:   28
[Verificación] AR ≈ b / c
[Fórmula] Δrel = |A − B| / max(|A|, |B|, 1e−12) con A=AR, B=b/c
[Normalización] Error relativo simétrico para escalas comparables.
[Sustitución] |15.0521 − (2.9/0.344178)| / max(|15.0521|, |8.42586|, 1e−12)
[Resultado] Δrel=0.440221 (44.02%); severidad: no_confiable</t>
      </text>
    </comment>
    <comment ref="U84" authorId="2" shapeId="0">
      <text>
        <t>[Verificación] MTOW ≈ W0 + Payload
[Fórmula] Δrel = |A − B| / max(|A|, |B|, 1e−12) con A=MTOW, B=W0+Payload
[Normalización] max(|A|,|B|) hace el error relativo, simétrico y estable (evita división por 0).
[Sustitución] |12 − (7 + 1.5)| / max(|12|, |8.5|, 1e−12)
[Resultado] Δrel=0.291667 (29.17%); severidad: no_confiable</t>
      </text>
    </comment>
    <comment ref="V84" authorId="1" shapeId="0">
      <text>
        <t xml:space="preserve">
=== CORRELATION DETAILS ===
Aeronave:   Omnibe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4" authorId="1" shapeId="0">
      <text>
        <t xml:space="preserve">
=== CORRELATION DETAILS ===
Aeronave:   Omnibe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4" authorId="1" shapeId="0">
      <text>
        <t xml:space="preserve">
=== CORRELATION DETAILS ===
Aeronave:   Omnibe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4" authorId="1" shapeId="0">
      <text>
        <t xml:space="preserve">
=== CORRELATION DETAILS ===
Aeronave:   Omnibe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4" authorId="2" shapeId="0">
      <text>
        <t>[Verificación] MTOW ≈ W0 + Payload
[Fórmula] Δrel = |A − B| / max(|A|, |B|, 1e−12) con A=MTOW, B=W0+Payload
[Normalización] max(|A|,|B|) hace el error relativo, simétrico y estable (evita división por 0).
[Sustitución] |12 − (7 + 1.5)| / max(|12|, |8.5|, 1e−12)
[Resultado] Δrel=0.291667 (29.17%); severidad: no_confiable</t>
      </text>
    </comment>
    <comment ref="AB84" authorId="1" shapeId="0">
      <text>
        <t xml:space="preserve">
=== CORRELATION DETAILS ===
Aeronave:   Omnibe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4" authorId="1" shapeId="0">
      <text>
        <t xml:space="preserve">
=== CORRELATION DETAILS ===
Aeronave:   Omnibe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4" authorId="1" shapeId="0">
      <text>
        <t xml:space="preserve">
=== CORRELATION DETAILS ===
Aeronave:   Omnibe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4" authorId="1" shapeId="0">
      <text>
        <t xml:space="preserve">
=== CORRELATION DETAILS ===
Aeronave:   Omnibe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4" authorId="1" shapeId="0">
      <text>
        <t xml:space="preserve">
=== CORRELATION DETAILS ===
Aeronave:   Omnibe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4" authorId="1" shapeId="0">
      <text>
        <t xml:space="preserve">
=== CORRELATION DETAILS ===
Aeronave:   Omnibe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4" authorId="1" shapeId="0">
      <text>
        <t xml:space="preserve">
=== CORRELATION DETAILS ===
Aeronave:   Omnibe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4" authorId="1" shapeId="0">
      <text>
        <t xml:space="preserve">
=== CORRELATION DETAILS ===
Aeronave:   Omnibe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4" authorId="1" shapeId="0">
      <text>
        <t xml:space="preserve">
=== CORRELATION DETAILS ===
Aeronave:   Omnibe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4" authorId="1" shapeId="0">
      <text>
        <t xml:space="preserve">
=== CORRELATION DETAILS ===
Aeronave:   Omnibe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M2" sqref="M2"/>
    </sheetView>
  </sheetViews>
  <sheetFormatPr baseColWidth="10" defaultRowHeight="15"/>
  <cols>
    <col width="56.28515625" customWidth="1" min="1" max="1"/>
    <col width="11.7109375" customWidth="1" min="2" max="38"/>
  </cols>
  <sheetData>
    <row r="1" ht="81" customFormat="1" customHeight="1" s="9">
      <c r="A1" s="28" t="inlineStr">
        <is>
          <t>Modelo</t>
        </is>
      </c>
      <c r="B1" s="68" t="inlineStr">
        <is>
          <t>Distancia de carrera requerida para despegue</t>
        </is>
      </c>
      <c r="C1" s="70" t="inlineStr">
        <is>
          <t>Altitud a la que se realiza el crucero</t>
        </is>
      </c>
      <c r="D1" s="70" t="inlineStr">
        <is>
          <t>Velocidad a la que se realiza el crucero (m/s TAS)</t>
        </is>
      </c>
      <c r="E1" s="4" t="inlineStr">
        <is>
          <t>Techo de servicio máximo</t>
        </is>
      </c>
      <c r="F1" s="4" t="inlineStr">
        <is>
          <t>Velocidad de pérdida limpia (m/s CAS)</t>
        </is>
      </c>
      <c r="G1" s="69" t="inlineStr">
        <is>
          <t>Área del ala</t>
        </is>
      </c>
      <c r="H1" s="69" t="inlineStr">
        <is>
          <t>Relación de aspecto del ala</t>
        </is>
      </c>
      <c r="I1" s="5" t="inlineStr">
        <is>
          <t>Longitud del fuselaje</t>
        </is>
      </c>
      <c r="J1" s="5" t="inlineStr">
        <is>
          <t>Profundidad del fuselaje</t>
        </is>
      </c>
      <c r="K1" s="5" t="inlineStr">
        <is>
          <t>Ancho del fuselaje</t>
        </is>
      </c>
      <c r="L1" s="68" t="inlineStr">
        <is>
          <t>Peso máximo al despegue (MTOW)</t>
        </is>
      </c>
      <c r="M1" s="71" t="inlineStr">
        <is>
          <t>Alcance de la aeronave (km)</t>
        </is>
      </c>
      <c r="N1" s="71" t="inlineStr">
        <is>
          <t>Autonomía de la aeronave (h)</t>
        </is>
      </c>
      <c r="O1" s="6" t="inlineStr">
        <is>
          <t>Velocidad máxima (m/s IAS)</t>
        </is>
      </c>
      <c r="P1" s="6" t="inlineStr">
        <is>
          <t>Velocidad de pérdida (m/s CAS)</t>
        </is>
      </c>
      <c r="Q1" s="6" t="inlineStr">
        <is>
          <t>Tasa de ascenso</t>
        </is>
      </c>
      <c r="R1" s="6" t="inlineStr">
        <is>
          <t>Radio de giro</t>
        </is>
      </c>
      <c r="S1" s="69" t="inlineStr">
        <is>
          <t>Envergadura</t>
        </is>
      </c>
      <c r="T1" s="69" t="inlineStr">
        <is>
          <t>Cuerda</t>
        </is>
      </c>
      <c r="U1" s="68" t="inlineStr">
        <is>
          <t>Payload</t>
        </is>
      </c>
      <c r="V1" s="7" t="inlineStr">
        <is>
          <t>duracion en VTOL</t>
        </is>
      </c>
      <c r="W1" s="70" t="inlineStr">
        <is>
          <t>Velocidad crucero (m/s IAS)</t>
        </is>
      </c>
      <c r="X1" s="7" t="inlineStr">
        <is>
          <t>Battery Weight</t>
        </is>
      </c>
      <c r="Y1" s="7" t="inlineStr">
        <is>
          <t>Peso frame</t>
        </is>
      </c>
      <c r="Z1" s="7" t="inlineStr">
        <is>
          <t>Peso vacio - fuel y battery</t>
        </is>
      </c>
      <c r="AA1" s="68" t="inlineStr">
        <is>
          <t>Peso Vacio (MTOW - payload)</t>
        </is>
      </c>
      <c r="AB1" s="7" t="inlineStr">
        <is>
          <t>Maximum Crosswind (rachas)</t>
        </is>
      </c>
      <c r="AC1" s="7" t="inlineStr">
        <is>
          <t>Maximum Crosswind (sostenido)</t>
        </is>
      </c>
      <c r="AD1" s="7" t="inlineStr">
        <is>
          <t>Rango de comunicación</t>
        </is>
      </c>
      <c r="AE1" s="7" t="inlineStr">
        <is>
          <t>Wing Loading</t>
        </is>
      </c>
      <c r="AF1" s="7" t="inlineStr">
        <is>
          <t>Potencia específica (P/W)</t>
        </is>
      </c>
      <c r="AG1" s="7" t="inlineStr">
        <is>
          <t>Capacidad combustible</t>
        </is>
      </c>
      <c r="AH1" s="7" t="inlineStr">
        <is>
          <t>Consumo</t>
        </is>
      </c>
      <c r="AI1" s="7" t="inlineStr">
        <is>
          <t>Potencia Watts</t>
        </is>
      </c>
      <c r="AJ1" s="7" t="inlineStr">
        <is>
          <t>Potencia HP</t>
        </is>
      </c>
      <c r="AK1" s="8" t="inlineStr">
        <is>
          <t>Precio</t>
        </is>
      </c>
      <c r="AL1" s="8" t="inlineStr">
        <is>
          <t>Tiempo de emergencia en vuelo</t>
        </is>
      </c>
      <c r="AM1" s="65" t="inlineStr">
        <is>
          <t>Despegue</t>
        </is>
      </c>
      <c r="AN1" s="66" t="inlineStr">
        <is>
          <t>Propulsión horizontal</t>
        </is>
      </c>
      <c r="AO1" s="66" t="inlineStr">
        <is>
          <t>Propulsión vertical</t>
        </is>
      </c>
      <c r="AP1" s="66" t="inlineStr">
        <is>
          <t>Cantidad de motores propulsión vertical</t>
        </is>
      </c>
      <c r="AQ1" s="66" t="inlineStr">
        <is>
          <t>Cantidad de motores propulsión horizontal</t>
        </is>
      </c>
      <c r="AR1" s="66" t="inlineStr">
        <is>
          <t>Misión</t>
        </is>
      </c>
      <c r="AS1" s="67" t="inlineStr">
        <is>
          <t>Clase</t>
        </is>
      </c>
    </row>
    <row r="2" ht="18.75" customHeight="1">
      <c r="A2" s="10" t="inlineStr">
        <is>
          <t>Stalker XE</t>
        </is>
      </c>
      <c r="B2" s="74" t="inlineStr">
        <is>
          <t>Nan</t>
        </is>
      </c>
      <c r="C2" s="74" t="inlineStr">
        <is>
          <t>Nan</t>
        </is>
      </c>
      <c r="D2" s="75" t="n">
        <v>16.63</v>
      </c>
      <c r="E2" s="13" t="n">
        <v>12000</v>
      </c>
      <c r="F2" s="74" t="inlineStr">
        <is>
          <t>Nan</t>
        </is>
      </c>
      <c r="G2" s="15" t="n">
        <v>0.87</v>
      </c>
      <c r="H2" s="15">
        <f>S2/T2</f>
        <v/>
      </c>
      <c r="I2" s="15" t="n">
        <v>2.1</v>
      </c>
      <c r="J2" s="74" t="inlineStr">
        <is>
          <t>Nan</t>
        </is>
      </c>
      <c r="K2" s="16" t="n">
        <v>0.211</v>
      </c>
      <c r="L2" s="17" t="n">
        <v>13.6</v>
      </c>
      <c r="M2" s="89" t="n">
        <v>370</v>
      </c>
      <c r="N2" s="89" t="n">
        <v>8</v>
      </c>
      <c r="O2" s="18" t="n">
        <v>20</v>
      </c>
      <c r="P2" s="74" t="inlineStr">
        <is>
          <t>Nan</t>
        </is>
      </c>
      <c r="Q2" s="74" t="inlineStr">
        <is>
          <t>Nan</t>
        </is>
      </c>
      <c r="R2" s="74" t="inlineStr">
        <is>
          <t>Nan</t>
        </is>
      </c>
      <c r="S2" s="19" t="n">
        <v>3.657</v>
      </c>
      <c r="T2" s="19" t="n">
        <v>0.239</v>
      </c>
      <c r="U2" s="19" t="n">
        <v>2.494756</v>
      </c>
      <c r="V2" s="19" t="n">
        <v>2</v>
      </c>
      <c r="W2" s="90" t="n">
        <v>15.43332</v>
      </c>
      <c r="X2" s="76" t="inlineStr">
        <is>
          <t>Nan</t>
        </is>
      </c>
      <c r="Y2" s="76" t="inlineStr">
        <is>
          <t>Nan</t>
        </is>
      </c>
      <c r="Z2" s="76" t="inlineStr">
        <is>
          <t>Nan</t>
        </is>
      </c>
      <c r="AA2" s="19" t="n">
        <v>10.886208</v>
      </c>
      <c r="AB2" s="76" t="inlineStr">
        <is>
          <t>Nan</t>
        </is>
      </c>
      <c r="AC2" s="76" t="inlineStr">
        <is>
          <t>Nan</t>
        </is>
      </c>
      <c r="AD2" s="19" t="n">
        <v>59</v>
      </c>
      <c r="AE2" s="74" t="inlineStr">
        <is>
          <t>Nan</t>
        </is>
      </c>
      <c r="AF2" s="76" t="inlineStr">
        <is>
          <t>Nan</t>
        </is>
      </c>
      <c r="AG2" s="76" t="inlineStr">
        <is>
          <t>Nan</t>
        </is>
      </c>
      <c r="AH2" s="76" t="inlineStr">
        <is>
          <t>Nan</t>
        </is>
      </c>
      <c r="AI2" s="76" t="inlineStr">
        <is>
          <t>Nan</t>
        </is>
      </c>
      <c r="AJ2" s="76" t="inlineStr">
        <is>
          <t>Nan</t>
        </is>
      </c>
      <c r="AK2" s="76" t="inlineStr">
        <is>
          <t>Nan</t>
        </is>
      </c>
      <c r="AL2" s="76" t="inlineStr">
        <is>
          <t>Nan</t>
        </is>
      </c>
      <c r="AM2" s="62" t="n">
        <v>1</v>
      </c>
      <c r="AN2" s="62" t="n">
        <v>2</v>
      </c>
      <c r="AO2" s="62" t="n">
        <v>5</v>
      </c>
      <c r="AP2" s="62" t="n">
        <v>0</v>
      </c>
      <c r="AQ2" s="62" t="n">
        <v>1</v>
      </c>
      <c r="AR2" s="62" t="n">
        <v>1</v>
      </c>
      <c r="AS2" s="62" t="n">
        <v>1</v>
      </c>
      <c r="AW2" t="inlineStr">
        <is>
          <t>datos que se pueden obtener a partir de otros datos</t>
        </is>
      </c>
    </row>
    <row r="3" ht="18.75" customHeight="1">
      <c r="A3" s="10" t="inlineStr">
        <is>
          <t>Stalker VXE30 Fuel Cell</t>
        </is>
      </c>
      <c r="B3" s="74" t="inlineStr">
        <is>
          <t>Nan</t>
        </is>
      </c>
      <c r="C3" s="74" t="inlineStr">
        <is>
          <t>Nan</t>
        </is>
      </c>
      <c r="D3" s="75" t="n">
        <v>17.34</v>
      </c>
      <c r="E3" s="13" t="n">
        <v>12000</v>
      </c>
      <c r="F3" s="74" t="inlineStr">
        <is>
          <t>Nan</t>
        </is>
      </c>
      <c r="G3" s="15" t="n">
        <v>1.1582832</v>
      </c>
      <c r="H3" s="15" t="n">
        <v>15.32644883465186</v>
      </c>
      <c r="I3" s="15" t="n">
        <v>2.5908</v>
      </c>
      <c r="J3" s="74" t="inlineStr">
        <is>
          <t>Nan</t>
        </is>
      </c>
      <c r="K3" s="16" t="n">
        <v>0.2</v>
      </c>
      <c r="L3" s="17" t="n">
        <v>19.95</v>
      </c>
      <c r="M3" s="91" t="n">
        <v>433</v>
      </c>
      <c r="N3" s="91" t="n">
        <v>8</v>
      </c>
      <c r="O3" s="18" t="n">
        <v>25.034211403264</v>
      </c>
      <c r="P3" s="74" t="inlineStr">
        <is>
          <t>Nan</t>
        </is>
      </c>
      <c r="Q3" s="74" t="inlineStr">
        <is>
          <t>Nan</t>
        </is>
      </c>
      <c r="R3" s="74" t="inlineStr">
        <is>
          <t>Nan</t>
        </is>
      </c>
      <c r="S3" s="19" t="n">
        <v>4.8768</v>
      </c>
      <c r="T3" s="19" t="n">
        <v>0.31819504</v>
      </c>
      <c r="U3" s="19" t="n">
        <v>2.494756</v>
      </c>
      <c r="V3" s="76" t="inlineStr">
        <is>
          <t>Nan</t>
        </is>
      </c>
      <c r="W3" s="92" t="n">
        <v>16.093421616384</v>
      </c>
      <c r="X3" s="76" t="inlineStr">
        <is>
          <t>Nan</t>
        </is>
      </c>
      <c r="Y3" s="76" t="inlineStr">
        <is>
          <t>Nan</t>
        </is>
      </c>
      <c r="Z3" s="76" t="inlineStr">
        <is>
          <t>Nan</t>
        </is>
      </c>
      <c r="AA3" s="19" t="n">
        <v>17.46</v>
      </c>
      <c r="AB3" s="76" t="inlineStr">
        <is>
          <t>Nan</t>
        </is>
      </c>
      <c r="AC3" s="76" t="inlineStr">
        <is>
          <t>Nan</t>
        </is>
      </c>
      <c r="AD3" s="19" t="n">
        <v>100</v>
      </c>
      <c r="AE3" s="76" t="inlineStr">
        <is>
          <t>Nan</t>
        </is>
      </c>
      <c r="AF3" s="76" t="inlineStr">
        <is>
          <t>Nan</t>
        </is>
      </c>
      <c r="AG3" s="76" t="inlineStr">
        <is>
          <t>Nan</t>
        </is>
      </c>
      <c r="AH3" s="76" t="inlineStr">
        <is>
          <t>Nan</t>
        </is>
      </c>
      <c r="AI3" s="76" t="inlineStr">
        <is>
          <t>Nan</t>
        </is>
      </c>
      <c r="AJ3" s="76" t="inlineStr">
        <is>
          <t>Nan</t>
        </is>
      </c>
      <c r="AK3" s="76" t="inlineStr">
        <is>
          <t>Nan</t>
        </is>
      </c>
      <c r="AL3" s="76" t="inlineStr">
        <is>
          <t>Nan</t>
        </is>
      </c>
      <c r="AM3" s="62" t="n">
        <v>1</v>
      </c>
      <c r="AN3" s="62" t="n">
        <v>2</v>
      </c>
      <c r="AO3" s="62" t="n">
        <v>5</v>
      </c>
      <c r="AP3" s="62" t="n">
        <v>0</v>
      </c>
      <c r="AQ3" s="62" t="n">
        <v>1</v>
      </c>
      <c r="AR3" s="62" t="n">
        <v>1</v>
      </c>
      <c r="AS3" s="62" t="n">
        <v>1</v>
      </c>
    </row>
    <row r="4" ht="18.75" customHeight="1">
      <c r="A4" s="10" t="inlineStr">
        <is>
          <t>Stalker VXE30 Battery</t>
        </is>
      </c>
      <c r="B4" s="74" t="inlineStr">
        <is>
          <t>Nan</t>
        </is>
      </c>
      <c r="C4" s="74" t="inlineStr">
        <is>
          <t>Nan</t>
        </is>
      </c>
      <c r="D4" s="75" t="n">
        <v>17.34</v>
      </c>
      <c r="E4" s="13" t="n">
        <v>12000</v>
      </c>
      <c r="F4" s="74" t="inlineStr">
        <is>
          <t>Nan</t>
        </is>
      </c>
      <c r="G4" s="15">
        <f>G2*1.33136</f>
        <v/>
      </c>
      <c r="H4" s="15">
        <f>S4/T4</f>
        <v/>
      </c>
      <c r="I4" s="15" t="n">
        <v>2.5908</v>
      </c>
      <c r="J4" s="74" t="inlineStr">
        <is>
          <t>Nan</t>
        </is>
      </c>
      <c r="K4" s="15" t="n">
        <v>0.2</v>
      </c>
      <c r="L4" s="17" t="n">
        <v>21.8</v>
      </c>
      <c r="M4" s="91" t="n">
        <v>222</v>
      </c>
      <c r="N4" s="91" t="n">
        <v>4</v>
      </c>
      <c r="O4" s="18" t="n">
        <v>25.034211403264</v>
      </c>
      <c r="P4" s="74" t="inlineStr">
        <is>
          <t>Nan</t>
        </is>
      </c>
      <c r="Q4" s="74" t="inlineStr">
        <is>
          <t>Nan</t>
        </is>
      </c>
      <c r="R4" s="74" t="inlineStr">
        <is>
          <t>Nan</t>
        </is>
      </c>
      <c r="S4" s="19" t="n">
        <v>4.8768</v>
      </c>
      <c r="T4" s="19" t="n">
        <v>0.31819504</v>
      </c>
      <c r="U4" s="19" t="n">
        <v>2.494756</v>
      </c>
      <c r="V4" s="74" t="inlineStr">
        <is>
          <t>Nan</t>
        </is>
      </c>
      <c r="W4" s="92" t="n">
        <v>16.093421616384</v>
      </c>
      <c r="X4" s="76" t="inlineStr">
        <is>
          <t>Nan</t>
        </is>
      </c>
      <c r="Y4" s="76" t="inlineStr">
        <is>
          <t>Nan</t>
        </is>
      </c>
      <c r="Z4" s="76" t="inlineStr">
        <is>
          <t>Nan</t>
        </is>
      </c>
      <c r="AA4" s="19" t="n">
        <v>19.28</v>
      </c>
      <c r="AB4" s="76" t="inlineStr">
        <is>
          <t>Nan</t>
        </is>
      </c>
      <c r="AC4" s="76" t="inlineStr">
        <is>
          <t>Nan</t>
        </is>
      </c>
      <c r="AD4" s="19" t="n">
        <v>100</v>
      </c>
      <c r="AE4" s="74" t="inlineStr">
        <is>
          <t>Nan</t>
        </is>
      </c>
      <c r="AF4" s="76" t="inlineStr">
        <is>
          <t>Nan</t>
        </is>
      </c>
      <c r="AG4" s="76" t="inlineStr">
        <is>
          <t>Nan</t>
        </is>
      </c>
      <c r="AH4" s="77" t="inlineStr">
        <is>
          <t>Nan</t>
        </is>
      </c>
      <c r="AI4" s="76" t="inlineStr">
        <is>
          <t>Nan</t>
        </is>
      </c>
      <c r="AJ4" s="76" t="inlineStr">
        <is>
          <t>Nan</t>
        </is>
      </c>
      <c r="AK4" s="76" t="inlineStr">
        <is>
          <t>Nan</t>
        </is>
      </c>
      <c r="AL4" s="76" t="inlineStr">
        <is>
          <t>Nan</t>
        </is>
      </c>
      <c r="AM4" s="62" t="n">
        <v>1</v>
      </c>
      <c r="AN4" s="62" t="n">
        <v>2</v>
      </c>
      <c r="AO4" s="62" t="n">
        <v>5</v>
      </c>
      <c r="AP4" s="62" t="n">
        <v>0</v>
      </c>
      <c r="AQ4" s="62" t="n">
        <v>1</v>
      </c>
      <c r="AR4" s="62" t="n">
        <v>1</v>
      </c>
      <c r="AS4" s="62" t="n">
        <v>1</v>
      </c>
      <c r="AW4" t="inlineStr">
        <is>
          <t>peso vacio=MTOW - Payload</t>
        </is>
      </c>
    </row>
    <row r="5" ht="18.75" customHeight="1">
      <c r="A5" s="61" t="inlineStr">
        <is>
          <t>Edge Autonomy Penguin C Mk 2.5 VTOL</t>
        </is>
      </c>
      <c r="B5" s="74" t="inlineStr">
        <is>
          <t>Nan</t>
        </is>
      </c>
      <c r="C5" s="74" t="inlineStr">
        <is>
          <t>Nan</t>
        </is>
      </c>
      <c r="D5" s="75" t="n">
        <v>16.59</v>
      </c>
      <c r="E5" s="74" t="inlineStr">
        <is>
          <t>Nan</t>
        </is>
      </c>
      <c r="F5" s="74" t="inlineStr">
        <is>
          <t>Nan</t>
        </is>
      </c>
      <c r="G5" s="78" t="n">
        <v>1.55042133940354</v>
      </c>
      <c r="H5" s="78" t="n">
        <v>15.16326984202221</v>
      </c>
      <c r="I5" s="74" t="inlineStr">
        <is>
          <t>Nan</t>
        </is>
      </c>
      <c r="J5" s="74" t="inlineStr">
        <is>
          <t>Nan</t>
        </is>
      </c>
      <c r="K5" s="78" t="n">
        <v>0.2182593694062916</v>
      </c>
      <c r="L5" s="17" t="n">
        <v>41</v>
      </c>
      <c r="M5" s="79" t="n">
        <v>665.28</v>
      </c>
      <c r="N5" s="18" t="n">
        <v>12</v>
      </c>
      <c r="O5" s="18" t="n">
        <v>33.5</v>
      </c>
      <c r="P5" s="74" t="inlineStr">
        <is>
          <t>Nan</t>
        </is>
      </c>
      <c r="Q5" s="74" t="inlineStr">
        <is>
          <t>Nan</t>
        </is>
      </c>
      <c r="R5" s="74" t="inlineStr">
        <is>
          <t>Nan</t>
        </is>
      </c>
      <c r="S5" s="19" t="n">
        <v>4.12</v>
      </c>
      <c r="T5" s="76" t="inlineStr">
        <is>
          <t>Nan</t>
        </is>
      </c>
      <c r="U5" s="76" t="inlineStr">
        <is>
          <t>Nan</t>
        </is>
      </c>
      <c r="V5" s="76" t="inlineStr">
        <is>
          <t>Nan</t>
        </is>
      </c>
      <c r="W5" s="19" t="n">
        <v>15.4</v>
      </c>
      <c r="X5" s="74" t="inlineStr">
        <is>
          <t>Nan</t>
        </is>
      </c>
      <c r="Y5" s="76" t="inlineStr">
        <is>
          <t>Nan</t>
        </is>
      </c>
      <c r="Z5" s="76" t="inlineStr">
        <is>
          <t>Nan</t>
        </is>
      </c>
      <c r="AA5" s="76" t="inlineStr">
        <is>
          <t>Nan</t>
        </is>
      </c>
      <c r="AB5" s="76" t="inlineStr">
        <is>
          <t>Nan</t>
        </is>
      </c>
      <c r="AC5" s="76" t="inlineStr">
        <is>
          <t>Nan</t>
        </is>
      </c>
      <c r="AD5" s="19" t="n">
        <v>180</v>
      </c>
      <c r="AE5" s="76" t="inlineStr">
        <is>
          <t>Nan</t>
        </is>
      </c>
      <c r="AF5" s="76" t="inlineStr">
        <is>
          <t>Nan</t>
        </is>
      </c>
      <c r="AG5" s="76" t="inlineStr">
        <is>
          <t>Nan</t>
        </is>
      </c>
      <c r="AH5" s="76" t="inlineStr">
        <is>
          <t>Nan</t>
        </is>
      </c>
      <c r="AI5" s="76" t="inlineStr">
        <is>
          <t>Nan</t>
        </is>
      </c>
      <c r="AJ5" s="76" t="inlineStr">
        <is>
          <t>Nan</t>
        </is>
      </c>
      <c r="AK5" s="76" t="inlineStr">
        <is>
          <t>Nan</t>
        </is>
      </c>
      <c r="AL5" s="76" t="inlineStr">
        <is>
          <t>Nan</t>
        </is>
      </c>
      <c r="AM5" s="62" t="n">
        <v>1</v>
      </c>
      <c r="AN5" s="62" t="n">
        <v>2</v>
      </c>
      <c r="AO5" s="62" t="n">
        <v>1</v>
      </c>
      <c r="AP5" s="62" t="n">
        <v>4</v>
      </c>
      <c r="AQ5" s="62" t="n">
        <v>1</v>
      </c>
      <c r="AR5" s="62" t="n">
        <v>1</v>
      </c>
      <c r="AS5" s="62" t="n">
        <v>1</v>
      </c>
    </row>
    <row r="6" ht="18.75" customHeight="1">
      <c r="A6" s="11" t="inlineStr">
        <is>
          <t>Aerosonde Mk. 4.7 Fixed Wing</t>
        </is>
      </c>
      <c r="B6" s="74" t="inlineStr">
        <is>
          <t>Nan</t>
        </is>
      </c>
      <c r="C6" s="74" t="inlineStr">
        <is>
          <t>Nan</t>
        </is>
      </c>
      <c r="D6" s="75" t="n">
        <v>26.93</v>
      </c>
      <c r="E6" s="13" t="n">
        <v>14700</v>
      </c>
      <c r="F6" s="74" t="inlineStr">
        <is>
          <t>Nan</t>
        </is>
      </c>
      <c r="G6" s="15" t="n">
        <v>1.55</v>
      </c>
      <c r="H6" s="15">
        <f>S6/T6</f>
        <v/>
      </c>
      <c r="I6" s="15" t="n">
        <v>3</v>
      </c>
      <c r="J6" s="74" t="inlineStr">
        <is>
          <t>Nan</t>
        </is>
      </c>
      <c r="K6" s="15" t="n">
        <v>0.277</v>
      </c>
      <c r="L6" s="17" t="n">
        <v>42.2</v>
      </c>
      <c r="M6" s="79" t="n">
        <v>1782</v>
      </c>
      <c r="N6" s="18" t="n">
        <v>19.8</v>
      </c>
      <c r="O6" s="18" t="n">
        <v>33.43886</v>
      </c>
      <c r="P6" s="74" t="inlineStr">
        <is>
          <t>Nan</t>
        </is>
      </c>
      <c r="Q6" s="74" t="inlineStr">
        <is>
          <t>Nan</t>
        </is>
      </c>
      <c r="R6" s="74" t="inlineStr">
        <is>
          <t>Nan</t>
        </is>
      </c>
      <c r="S6" s="19" t="n">
        <v>4.4</v>
      </c>
      <c r="T6" s="19" t="n">
        <v>0.352</v>
      </c>
      <c r="U6" s="19" t="n">
        <v>14.5</v>
      </c>
      <c r="V6" s="74" t="inlineStr">
        <is>
          <t>Nan</t>
        </is>
      </c>
      <c r="W6" s="19" t="n">
        <v>25</v>
      </c>
      <c r="X6" s="74" t="inlineStr">
        <is>
          <t>Nan</t>
        </is>
      </c>
      <c r="Y6" s="76" t="inlineStr">
        <is>
          <t>Nan</t>
        </is>
      </c>
      <c r="Z6" s="76" t="inlineStr">
        <is>
          <t>Nan</t>
        </is>
      </c>
      <c r="AA6" s="19" t="n">
        <v>27.7</v>
      </c>
      <c r="AB6" s="76" t="inlineStr">
        <is>
          <t>Nan</t>
        </is>
      </c>
      <c r="AC6" s="76" t="inlineStr">
        <is>
          <t>Nan</t>
        </is>
      </c>
      <c r="AD6" s="19" t="n">
        <v>140</v>
      </c>
      <c r="AE6" s="74" t="inlineStr">
        <is>
          <t>Nan</t>
        </is>
      </c>
      <c r="AF6" s="76" t="inlineStr">
        <is>
          <t>Nan</t>
        </is>
      </c>
      <c r="AG6" s="76" t="inlineStr">
        <is>
          <t>Nan</t>
        </is>
      </c>
      <c r="AH6" s="19" t="n">
        <v>0.6</v>
      </c>
      <c r="AI6" s="19" t="n">
        <v>2980</v>
      </c>
      <c r="AJ6" s="19" t="n">
        <v>4</v>
      </c>
      <c r="AK6" s="76" t="inlineStr">
        <is>
          <t>Nan</t>
        </is>
      </c>
      <c r="AL6" s="76" t="inlineStr">
        <is>
          <t>Nan</t>
        </is>
      </c>
      <c r="AM6" s="62" t="n">
        <v>1</v>
      </c>
      <c r="AN6" s="62" t="n">
        <v>2</v>
      </c>
      <c r="AO6" s="62" t="n">
        <v>5</v>
      </c>
      <c r="AP6" s="62" t="n">
        <v>0</v>
      </c>
      <c r="AQ6" s="62" t="n">
        <v>1</v>
      </c>
      <c r="AR6" s="62" t="n">
        <v>1</v>
      </c>
      <c r="AS6" s="62" t="n">
        <v>1</v>
      </c>
      <c r="AW6" t="inlineStr">
        <is>
          <t>Autonomia tiempo = alcance / velocidad crucero</t>
        </is>
      </c>
    </row>
    <row r="7" ht="18.75" customHeight="1">
      <c r="A7" s="12" t="inlineStr">
        <is>
          <t>Aerosonde Mk. 4.7 VTOL</t>
        </is>
      </c>
      <c r="B7" s="74" t="inlineStr">
        <is>
          <t>Nan</t>
        </is>
      </c>
      <c r="C7" s="74" t="inlineStr">
        <is>
          <t>Nan</t>
        </is>
      </c>
      <c r="D7" s="75" t="n">
        <v>26.93</v>
      </c>
      <c r="E7" s="13" t="n">
        <v>9700</v>
      </c>
      <c r="F7" s="74" t="inlineStr">
        <is>
          <t>Nan</t>
        </is>
      </c>
      <c r="G7" s="15" t="n">
        <v>1.55</v>
      </c>
      <c r="H7" s="15">
        <f>S7/T7</f>
        <v/>
      </c>
      <c r="I7" s="15" t="n">
        <v>3</v>
      </c>
      <c r="J7" s="74" t="inlineStr">
        <is>
          <t>Nan</t>
        </is>
      </c>
      <c r="K7" s="15" t="n">
        <v>0.277</v>
      </c>
      <c r="L7" s="17" t="n">
        <v>53.5</v>
      </c>
      <c r="M7" s="79" t="n">
        <v>1080</v>
      </c>
      <c r="N7" s="18" t="n">
        <v>12</v>
      </c>
      <c r="O7" s="18" t="n">
        <v>33.43886</v>
      </c>
      <c r="P7" s="74" t="inlineStr">
        <is>
          <t>Nan</t>
        </is>
      </c>
      <c r="Q7" s="74" t="inlineStr">
        <is>
          <t>Nan</t>
        </is>
      </c>
      <c r="R7" s="74" t="inlineStr">
        <is>
          <t>Nan</t>
        </is>
      </c>
      <c r="S7" s="19" t="n">
        <v>4.4</v>
      </c>
      <c r="T7" s="19" t="n">
        <v>0.352</v>
      </c>
      <c r="U7" s="19" t="n">
        <v>11.3</v>
      </c>
      <c r="V7" s="74" t="inlineStr">
        <is>
          <t>Nan</t>
        </is>
      </c>
      <c r="W7" s="19" t="n">
        <v>25</v>
      </c>
      <c r="X7" s="76" t="inlineStr">
        <is>
          <t>Nan</t>
        </is>
      </c>
      <c r="Y7" s="76" t="inlineStr">
        <is>
          <t>Nan</t>
        </is>
      </c>
      <c r="Z7" s="76" t="inlineStr">
        <is>
          <t>Nan</t>
        </is>
      </c>
      <c r="AA7" s="19" t="n">
        <v>42.2</v>
      </c>
      <c r="AB7" s="76" t="inlineStr">
        <is>
          <t>Nan</t>
        </is>
      </c>
      <c r="AC7" s="76" t="inlineStr">
        <is>
          <t>Nan</t>
        </is>
      </c>
      <c r="AD7" s="19" t="n">
        <v>140</v>
      </c>
      <c r="AE7" s="74" t="inlineStr">
        <is>
          <t>Nan</t>
        </is>
      </c>
      <c r="AF7" s="76" t="inlineStr">
        <is>
          <t>Nan</t>
        </is>
      </c>
      <c r="AG7" s="76" t="inlineStr">
        <is>
          <t>Nan</t>
        </is>
      </c>
      <c r="AH7" s="19" t="n">
        <v>0.6</v>
      </c>
      <c r="AI7" s="19" t="n">
        <v>2980</v>
      </c>
      <c r="AJ7" s="19" t="n">
        <v>4</v>
      </c>
      <c r="AK7" s="76" t="inlineStr">
        <is>
          <t>Nan</t>
        </is>
      </c>
      <c r="AL7" s="76" t="inlineStr">
        <is>
          <t>Nan</t>
        </is>
      </c>
      <c r="AM7" s="62" t="n">
        <v>2</v>
      </c>
      <c r="AN7" s="62" t="n">
        <v>2</v>
      </c>
      <c r="AO7" s="62" t="n">
        <v>1</v>
      </c>
      <c r="AP7" s="62" t="n">
        <v>4</v>
      </c>
      <c r="AQ7" s="62" t="n">
        <v>1</v>
      </c>
      <c r="AR7" s="62" t="n">
        <v>1</v>
      </c>
      <c r="AS7" s="62" t="n">
        <v>1</v>
      </c>
      <c r="AW7" t="inlineStr">
        <is>
          <t>velocidad crucero =alcance / autonomia</t>
        </is>
      </c>
    </row>
    <row r="8" ht="18.75" customHeight="1">
      <c r="A8" s="12" t="inlineStr">
        <is>
          <t>Aerosonde Mk. 4.8 Fixed wing</t>
        </is>
      </c>
      <c r="B8" s="74" t="inlineStr">
        <is>
          <t>Nan</t>
        </is>
      </c>
      <c r="C8" s="74" t="inlineStr">
        <is>
          <t>Nan</t>
        </is>
      </c>
      <c r="D8" s="75" t="n">
        <v>26.93</v>
      </c>
      <c r="E8" s="13" t="n">
        <v>18200</v>
      </c>
      <c r="F8" s="74" t="inlineStr">
        <is>
          <t>Nan</t>
        </is>
      </c>
      <c r="G8" s="15" t="n">
        <v>1.55</v>
      </c>
      <c r="H8" s="15">
        <f>S8/T8</f>
        <v/>
      </c>
      <c r="I8" s="15" t="n">
        <v>3</v>
      </c>
      <c r="J8" s="74" t="inlineStr">
        <is>
          <t>Nan</t>
        </is>
      </c>
      <c r="K8" s="15" t="n">
        <v>0.277</v>
      </c>
      <c r="L8" s="17" t="n">
        <v>54.4</v>
      </c>
      <c r="M8" s="79" t="n">
        <v>1782</v>
      </c>
      <c r="N8" s="18" t="n">
        <v>19.8</v>
      </c>
      <c r="O8" s="18" t="n">
        <v>33.43886</v>
      </c>
      <c r="P8" s="74" t="inlineStr">
        <is>
          <t>Nan</t>
        </is>
      </c>
      <c r="Q8" s="74" t="inlineStr">
        <is>
          <t>Nan</t>
        </is>
      </c>
      <c r="R8" s="74" t="inlineStr">
        <is>
          <t>Nan</t>
        </is>
      </c>
      <c r="S8" s="19" t="n">
        <v>4.4</v>
      </c>
      <c r="T8" s="19" t="n">
        <v>0.352</v>
      </c>
      <c r="U8" s="19" t="n">
        <v>17.7</v>
      </c>
      <c r="V8" s="74" t="inlineStr">
        <is>
          <t>Nan</t>
        </is>
      </c>
      <c r="W8" s="19" t="n">
        <v>25</v>
      </c>
      <c r="X8" s="76" t="inlineStr">
        <is>
          <t>Nan</t>
        </is>
      </c>
      <c r="Y8" s="76" t="inlineStr">
        <is>
          <t>Nan</t>
        </is>
      </c>
      <c r="Z8" s="76" t="inlineStr">
        <is>
          <t>Nan</t>
        </is>
      </c>
      <c r="AA8" s="19" t="n">
        <v>36.7</v>
      </c>
      <c r="AB8" s="76" t="inlineStr">
        <is>
          <t>Nan</t>
        </is>
      </c>
      <c r="AC8" s="76" t="inlineStr">
        <is>
          <t>Nan</t>
        </is>
      </c>
      <c r="AD8" s="19" t="n">
        <v>140</v>
      </c>
      <c r="AE8" s="74" t="inlineStr">
        <is>
          <t>Nan</t>
        </is>
      </c>
      <c r="AF8" s="76" t="inlineStr">
        <is>
          <t>Nan</t>
        </is>
      </c>
      <c r="AG8" s="74" t="inlineStr">
        <is>
          <t>Nan</t>
        </is>
      </c>
      <c r="AH8" s="74" t="inlineStr">
        <is>
          <t>Nan</t>
        </is>
      </c>
      <c r="AI8" s="74" t="inlineStr">
        <is>
          <t>Nan</t>
        </is>
      </c>
      <c r="AJ8" s="74" t="inlineStr">
        <is>
          <t>Nan</t>
        </is>
      </c>
      <c r="AK8" s="76" t="inlineStr">
        <is>
          <t>Nan</t>
        </is>
      </c>
      <c r="AL8" s="76" t="inlineStr">
        <is>
          <t>Nan</t>
        </is>
      </c>
      <c r="AM8" s="62" t="n">
        <v>1</v>
      </c>
      <c r="AN8" s="62" t="n">
        <v>2</v>
      </c>
      <c r="AO8" s="62" t="n">
        <v>5</v>
      </c>
      <c r="AP8" s="62" t="n">
        <v>0</v>
      </c>
      <c r="AQ8" s="62" t="n">
        <v>1</v>
      </c>
      <c r="AR8" s="62" t="n">
        <v>1</v>
      </c>
      <c r="AS8" s="62" t="n">
        <v>1</v>
      </c>
      <c r="AW8" t="inlineStr">
        <is>
          <t>alcance =tiempo * velocidad crucero</t>
        </is>
      </c>
    </row>
    <row r="9" ht="18.75" customHeight="1">
      <c r="A9" s="12" t="inlineStr">
        <is>
          <t>Aerosonde Mk. 4.8 VTOL FTUAS</t>
        </is>
      </c>
      <c r="B9" s="74" t="inlineStr">
        <is>
          <t>Nan</t>
        </is>
      </c>
      <c r="C9" s="74" t="inlineStr">
        <is>
          <t>Nan</t>
        </is>
      </c>
      <c r="D9" s="76" t="inlineStr">
        <is>
          <t>Nan</t>
        </is>
      </c>
      <c r="E9" s="13" t="n">
        <v>15000</v>
      </c>
      <c r="F9" s="74" t="inlineStr">
        <is>
          <t>Nan</t>
        </is>
      </c>
      <c r="G9" s="78" t="n">
        <v>2.431295207422291</v>
      </c>
      <c r="H9" s="16" t="n">
        <v>12.5</v>
      </c>
      <c r="I9" s="74" t="inlineStr">
        <is>
          <t>Nan</t>
        </is>
      </c>
      <c r="J9" s="74" t="inlineStr">
        <is>
          <t>Nan</t>
        </is>
      </c>
      <c r="K9" s="74" t="inlineStr">
        <is>
          <t>Nan</t>
        </is>
      </c>
      <c r="L9" s="17" t="n">
        <v>93</v>
      </c>
      <c r="M9" s="74" t="inlineStr">
        <is>
          <t>Nan</t>
        </is>
      </c>
      <c r="N9" s="18" t="n">
        <v>14</v>
      </c>
      <c r="O9" s="78" t="n">
        <v>41.65020348237167</v>
      </c>
      <c r="P9" s="74" t="inlineStr">
        <is>
          <t>Nan</t>
        </is>
      </c>
      <c r="Q9" s="74" t="inlineStr">
        <is>
          <t>Nan</t>
        </is>
      </c>
      <c r="R9" s="74" t="inlineStr">
        <is>
          <t>Nan</t>
        </is>
      </c>
      <c r="S9" s="74" t="inlineStr">
        <is>
          <t>Nan</t>
        </is>
      </c>
      <c r="T9" s="74" t="inlineStr">
        <is>
          <t>Nan</t>
        </is>
      </c>
      <c r="U9" s="19" t="n">
        <v>22.7</v>
      </c>
      <c r="V9" s="74" t="inlineStr">
        <is>
          <t>Nan</t>
        </is>
      </c>
      <c r="W9" s="74" t="inlineStr">
        <is>
          <t>Nan</t>
        </is>
      </c>
      <c r="X9" s="76" t="inlineStr">
        <is>
          <t>Nan</t>
        </is>
      </c>
      <c r="Y9" s="76" t="inlineStr">
        <is>
          <t>Nan</t>
        </is>
      </c>
      <c r="Z9" s="74" t="inlineStr">
        <is>
          <t>Nan</t>
        </is>
      </c>
      <c r="AA9" s="19" t="n">
        <v>70.3</v>
      </c>
      <c r="AB9" s="76" t="inlineStr">
        <is>
          <t>Nan</t>
        </is>
      </c>
      <c r="AC9" s="76" t="inlineStr">
        <is>
          <t>Nan</t>
        </is>
      </c>
      <c r="AD9" s="74" t="inlineStr">
        <is>
          <t>Nan</t>
        </is>
      </c>
      <c r="AE9" s="74" t="inlineStr">
        <is>
          <t>Nan</t>
        </is>
      </c>
      <c r="AF9" s="76" t="inlineStr">
        <is>
          <t>Nan</t>
        </is>
      </c>
      <c r="AG9" s="74" t="inlineStr">
        <is>
          <t>Nan</t>
        </is>
      </c>
      <c r="AH9" s="74" t="inlineStr">
        <is>
          <t>Nan</t>
        </is>
      </c>
      <c r="AI9" s="74" t="inlineStr">
        <is>
          <t>Nan</t>
        </is>
      </c>
      <c r="AJ9" s="74" t="inlineStr">
        <is>
          <t>Nan</t>
        </is>
      </c>
      <c r="AK9" s="76" t="inlineStr">
        <is>
          <t>Nan</t>
        </is>
      </c>
      <c r="AL9" s="76" t="inlineStr">
        <is>
          <t>Nan</t>
        </is>
      </c>
      <c r="AM9" s="62" t="n">
        <v>2</v>
      </c>
      <c r="AN9" s="62" t="n">
        <v>2</v>
      </c>
      <c r="AO9" s="62" t="n">
        <v>1</v>
      </c>
      <c r="AP9" s="62" t="n">
        <v>4</v>
      </c>
      <c r="AQ9" s="62" t="n">
        <v>1</v>
      </c>
      <c r="AR9" s="62" t="n">
        <v>1</v>
      </c>
      <c r="AS9" s="62" t="n">
        <v>1</v>
      </c>
      <c r="AW9" s="29" t="inlineStr">
        <is>
          <t>velocidad a la que sea realiza el crucero en tas correccion por altura a la que se realiza el crucero, suponer un estnadar si no hay</t>
        </is>
      </c>
    </row>
    <row r="10" ht="18.75" customHeight="1">
      <c r="A10" s="10" t="inlineStr">
        <is>
          <t>AAI Aerosonde</t>
        </is>
      </c>
      <c r="B10" s="74" t="inlineStr">
        <is>
          <t>Nan</t>
        </is>
      </c>
      <c r="C10" s="14" t="n">
        <v>5500</v>
      </c>
      <c r="D10" s="75" t="n">
        <v>37.64</v>
      </c>
      <c r="E10" s="13" t="n">
        <v>15000</v>
      </c>
      <c r="F10" s="74" t="inlineStr">
        <is>
          <t>Nan</t>
        </is>
      </c>
      <c r="G10" s="15" t="n">
        <v>0.57</v>
      </c>
      <c r="H10" s="15">
        <f>S10/T10</f>
        <v/>
      </c>
      <c r="I10" s="15" t="n">
        <v>1.7</v>
      </c>
      <c r="J10" s="74" t="inlineStr">
        <is>
          <t>Nan</t>
        </is>
      </c>
      <c r="K10" s="74" t="inlineStr">
        <is>
          <t>Nan</t>
        </is>
      </c>
      <c r="L10" s="17" t="n">
        <v>13.1</v>
      </c>
      <c r="M10" s="18" t="n">
        <v>3270</v>
      </c>
      <c r="N10" s="18" t="n">
        <v>26</v>
      </c>
      <c r="O10" s="18" t="n">
        <v>30.845724764736</v>
      </c>
      <c r="P10" s="74" t="inlineStr">
        <is>
          <t>Nan</t>
        </is>
      </c>
      <c r="Q10" s="74" t="inlineStr">
        <is>
          <t>Nan</t>
        </is>
      </c>
      <c r="R10" s="74" t="inlineStr">
        <is>
          <t>Nan</t>
        </is>
      </c>
      <c r="S10" s="19" t="n">
        <v>2.9</v>
      </c>
      <c r="T10" s="19">
        <f>G10/S10</f>
        <v/>
      </c>
      <c r="U10" s="74" t="inlineStr">
        <is>
          <t>Nan</t>
        </is>
      </c>
      <c r="V10" s="74" t="inlineStr">
        <is>
          <t>Nan</t>
        </is>
      </c>
      <c r="W10" s="80" t="n">
        <v>34.94</v>
      </c>
      <c r="X10" s="81" t="inlineStr">
        <is>
          <t>Nan</t>
        </is>
      </c>
      <c r="Y10" s="20" t="n">
        <v>10</v>
      </c>
      <c r="Z10" s="74" t="inlineStr">
        <is>
          <t>Nan</t>
        </is>
      </c>
      <c r="AA10" s="76" t="inlineStr">
        <is>
          <t>Nan</t>
        </is>
      </c>
      <c r="AB10" s="76" t="inlineStr">
        <is>
          <t>Nan</t>
        </is>
      </c>
      <c r="AC10" s="76" t="inlineStr">
        <is>
          <t>Nan</t>
        </is>
      </c>
      <c r="AD10" s="21" t="n">
        <v>150</v>
      </c>
      <c r="AE10" s="19" t="n">
        <v>23</v>
      </c>
      <c r="AF10" s="19" t="n">
        <v>98</v>
      </c>
      <c r="AG10" s="76" t="inlineStr">
        <is>
          <t>Nan</t>
        </is>
      </c>
      <c r="AH10" s="76" t="inlineStr">
        <is>
          <t>Nan</t>
        </is>
      </c>
      <c r="AI10" s="19" t="n">
        <v>1280</v>
      </c>
      <c r="AJ10" s="19" t="n">
        <v>1.74</v>
      </c>
      <c r="AK10" s="76" t="inlineStr">
        <is>
          <t>Nan</t>
        </is>
      </c>
      <c r="AL10" s="76" t="inlineStr">
        <is>
          <t>Nan</t>
        </is>
      </c>
      <c r="AM10" s="62" t="n">
        <v>2</v>
      </c>
      <c r="AN10" s="62" t="n">
        <v>2</v>
      </c>
      <c r="AO10" s="62" t="n">
        <v>1</v>
      </c>
      <c r="AP10" s="62" t="n">
        <v>4</v>
      </c>
      <c r="AQ10" s="62" t="n">
        <v>1</v>
      </c>
      <c r="AR10" s="62" t="n">
        <v>1</v>
      </c>
      <c r="AS10" s="62" t="n">
        <v>1</v>
      </c>
      <c r="AW10" t="inlineStr">
        <is>
          <t>area del ala = cuerda * envergadura</t>
        </is>
      </c>
    </row>
    <row r="11" ht="18.75" customHeight="1">
      <c r="A11" s="10" t="inlineStr">
        <is>
          <t>Fulmar X</t>
        </is>
      </c>
      <c r="B11" s="76" t="inlineStr">
        <is>
          <t>Nan</t>
        </is>
      </c>
      <c r="C11" s="74" t="inlineStr">
        <is>
          <t>Nan</t>
        </is>
      </c>
      <c r="D11" s="75" t="n">
        <v>29.95</v>
      </c>
      <c r="E11" s="13" t="n">
        <v>9.842000000000001</v>
      </c>
      <c r="F11" s="76" t="inlineStr">
        <is>
          <t>Nan</t>
        </is>
      </c>
      <c r="G11" s="82" t="n">
        <v>1.120935361841553</v>
      </c>
      <c r="H11" s="93" t="n">
        <v>15.01422016768377</v>
      </c>
      <c r="I11" s="15" t="n">
        <v>1.2</v>
      </c>
      <c r="J11" s="76" t="inlineStr">
        <is>
          <t>Nan</t>
        </is>
      </c>
      <c r="K11" s="82" t="n">
        <v>0.2245933180584796</v>
      </c>
      <c r="L11" s="17" t="n">
        <v>20</v>
      </c>
      <c r="M11" s="18" t="n">
        <v>800</v>
      </c>
      <c r="N11" s="18" t="n">
        <v>8</v>
      </c>
      <c r="O11" s="18" t="n">
        <v>41.7</v>
      </c>
      <c r="P11" s="76" t="inlineStr">
        <is>
          <t>Nan</t>
        </is>
      </c>
      <c r="Q11" s="76" t="inlineStr">
        <is>
          <t>Nan</t>
        </is>
      </c>
      <c r="R11" s="76" t="inlineStr">
        <is>
          <t>Nan</t>
        </is>
      </c>
      <c r="S11" s="94" t="n">
        <v>3</v>
      </c>
      <c r="T11" s="93" t="n">
        <v>0.3119019189967417</v>
      </c>
      <c r="U11" s="76" t="inlineStr">
        <is>
          <t>Nan</t>
        </is>
      </c>
      <c r="V11" s="76" t="inlineStr">
        <is>
          <t>Nan</t>
        </is>
      </c>
      <c r="W11" s="19" t="n">
        <v>27.8</v>
      </c>
      <c r="X11" s="76" t="inlineStr">
        <is>
          <t>Nan</t>
        </is>
      </c>
      <c r="Y11" s="76" t="inlineStr">
        <is>
          <t>Nan</t>
        </is>
      </c>
      <c r="Z11" s="76" t="inlineStr">
        <is>
          <t>Nan</t>
        </is>
      </c>
      <c r="AA11" s="82" t="n">
        <v>16.03244582924432</v>
      </c>
      <c r="AB11" s="76" t="inlineStr">
        <is>
          <t>Nan</t>
        </is>
      </c>
      <c r="AC11" s="76" t="inlineStr">
        <is>
          <t>Nan</t>
        </is>
      </c>
      <c r="AD11" s="82" t="n">
        <v>120.2393653942734</v>
      </c>
      <c r="AE11" s="76" t="inlineStr">
        <is>
          <t>Nan</t>
        </is>
      </c>
      <c r="AF11" s="76" t="inlineStr">
        <is>
          <t>Nan</t>
        </is>
      </c>
      <c r="AG11" s="76" t="inlineStr">
        <is>
          <t>Nan</t>
        </is>
      </c>
      <c r="AH11" s="76" t="inlineStr">
        <is>
          <t>Nan</t>
        </is>
      </c>
      <c r="AI11" s="76" t="inlineStr">
        <is>
          <t>Nan</t>
        </is>
      </c>
      <c r="AJ11" s="76" t="inlineStr">
        <is>
          <t>Nan</t>
        </is>
      </c>
      <c r="AK11" s="76" t="inlineStr">
        <is>
          <t>Nan</t>
        </is>
      </c>
      <c r="AL11" s="76" t="inlineStr">
        <is>
          <t>Nan</t>
        </is>
      </c>
      <c r="AM11" s="62" t="n">
        <v>1</v>
      </c>
      <c r="AN11" s="62" t="n">
        <v>2</v>
      </c>
      <c r="AO11" s="62" t="n">
        <v>5</v>
      </c>
      <c r="AP11" s="62" t="n">
        <v>0</v>
      </c>
      <c r="AQ11" s="62" t="n">
        <v>1</v>
      </c>
      <c r="AR11" s="62" t="n">
        <v>1</v>
      </c>
      <c r="AS11" s="62" t="n">
        <v>1</v>
      </c>
    </row>
    <row r="12" ht="18.75" customHeight="1">
      <c r="A12" s="10" t="inlineStr">
        <is>
          <t>Orbiter 4</t>
        </is>
      </c>
      <c r="B12" s="76" t="inlineStr">
        <is>
          <t>Nan</t>
        </is>
      </c>
      <c r="C12" s="74" t="inlineStr">
        <is>
          <t>Nan</t>
        </is>
      </c>
      <c r="D12" s="76" t="inlineStr">
        <is>
          <t>Nan</t>
        </is>
      </c>
      <c r="E12" s="77" t="inlineStr">
        <is>
          <t>Nan</t>
        </is>
      </c>
      <c r="F12" s="76" t="inlineStr">
        <is>
          <t>Nan</t>
        </is>
      </c>
      <c r="G12" s="76" t="inlineStr">
        <is>
          <t>Nan</t>
        </is>
      </c>
      <c r="H12" s="82" t="n">
        <v>12.90672317711597</v>
      </c>
      <c r="I12" s="15" t="n">
        <v>1.2</v>
      </c>
      <c r="J12" s="76" t="inlineStr">
        <is>
          <t>Nan</t>
        </is>
      </c>
      <c r="K12" s="82" t="n">
        <v>0.2654501850685518</v>
      </c>
      <c r="L12" s="17" t="n">
        <v>55</v>
      </c>
      <c r="M12" s="76" t="inlineStr">
        <is>
          <t>Nan</t>
        </is>
      </c>
      <c r="N12" s="18" t="n">
        <v>24</v>
      </c>
      <c r="O12" s="18" t="n">
        <v>36</v>
      </c>
      <c r="P12" s="76" t="inlineStr">
        <is>
          <t>Nan</t>
        </is>
      </c>
      <c r="Q12" s="76" t="inlineStr">
        <is>
          <t>Nan</t>
        </is>
      </c>
      <c r="R12" s="76" t="inlineStr">
        <is>
          <t>Nan</t>
        </is>
      </c>
      <c r="S12" s="19" t="n">
        <v>5.2</v>
      </c>
      <c r="T12" s="76" t="inlineStr">
        <is>
          <t>Nan</t>
        </is>
      </c>
      <c r="U12" s="19" t="n">
        <v>12</v>
      </c>
      <c r="V12" s="76" t="inlineStr">
        <is>
          <t>Nan</t>
        </is>
      </c>
      <c r="W12" s="76" t="inlineStr">
        <is>
          <t>Nan</t>
        </is>
      </c>
      <c r="X12" s="76" t="inlineStr">
        <is>
          <t>Nan</t>
        </is>
      </c>
      <c r="Y12" s="76" t="inlineStr">
        <is>
          <t>Nan</t>
        </is>
      </c>
      <c r="Z12" s="76" t="inlineStr">
        <is>
          <t>Nan</t>
        </is>
      </c>
      <c r="AA12" s="83" t="n">
        <v>43</v>
      </c>
      <c r="AB12" s="76" t="inlineStr">
        <is>
          <t>Nan</t>
        </is>
      </c>
      <c r="AC12" s="76" t="inlineStr">
        <is>
          <t>Nan</t>
        </is>
      </c>
      <c r="AD12" s="19" t="n">
        <v>150</v>
      </c>
      <c r="AE12" s="76" t="inlineStr">
        <is>
          <t>Nan</t>
        </is>
      </c>
      <c r="AF12" s="76" t="inlineStr">
        <is>
          <t>Nan</t>
        </is>
      </c>
      <c r="AG12" s="76" t="inlineStr">
        <is>
          <t>Nan</t>
        </is>
      </c>
      <c r="AH12" s="76" t="inlineStr">
        <is>
          <t>Nan</t>
        </is>
      </c>
      <c r="AI12" s="76" t="inlineStr">
        <is>
          <t>Nan</t>
        </is>
      </c>
      <c r="AJ12" s="76" t="inlineStr">
        <is>
          <t>Nan</t>
        </is>
      </c>
      <c r="AK12" s="76" t="inlineStr">
        <is>
          <t>Nan</t>
        </is>
      </c>
      <c r="AL12" s="76" t="inlineStr">
        <is>
          <t>Nan</t>
        </is>
      </c>
      <c r="AM12" s="62" t="n">
        <v>1</v>
      </c>
      <c r="AN12" s="62" t="n">
        <v>2</v>
      </c>
      <c r="AO12" s="62" t="n">
        <v>5</v>
      </c>
      <c r="AP12" s="62" t="n">
        <v>0</v>
      </c>
      <c r="AQ12" s="62" t="n">
        <v>1</v>
      </c>
      <c r="AR12" s="62" t="n">
        <v>1</v>
      </c>
      <c r="AS12" s="62" t="n">
        <v>1</v>
      </c>
    </row>
    <row r="13" ht="18.75" customHeight="1">
      <c r="A13" s="10" t="inlineStr">
        <is>
          <t>Orbiter 3</t>
        </is>
      </c>
      <c r="B13" s="76" t="inlineStr">
        <is>
          <t>Nan</t>
        </is>
      </c>
      <c r="C13" s="74" t="inlineStr">
        <is>
          <t>Nan</t>
        </is>
      </c>
      <c r="D13" s="75" t="n">
        <v>2.49</v>
      </c>
      <c r="E13" s="76" t="inlineStr">
        <is>
          <t>Nan</t>
        </is>
      </c>
      <c r="F13" s="76" t="inlineStr">
        <is>
          <t>Nan</t>
        </is>
      </c>
      <c r="G13" s="82" t="n">
        <v>1.431654424102088</v>
      </c>
      <c r="H13" s="93" t="n">
        <v>15.37972330341326</v>
      </c>
      <c r="I13" s="15" t="n">
        <v>1.2</v>
      </c>
      <c r="J13" s="76" t="inlineStr">
        <is>
          <t>Nan</t>
        </is>
      </c>
      <c r="K13" s="82" t="n">
        <v>0.2015640956876207</v>
      </c>
      <c r="L13" s="17" t="n">
        <v>32</v>
      </c>
      <c r="M13" s="18" t="n">
        <v>50</v>
      </c>
      <c r="N13" s="18" t="n">
        <v>6</v>
      </c>
      <c r="O13" s="18" t="n">
        <v>36</v>
      </c>
      <c r="P13" s="76" t="inlineStr">
        <is>
          <t>Nan</t>
        </is>
      </c>
      <c r="Q13" s="76" t="inlineStr">
        <is>
          <t>Nan</t>
        </is>
      </c>
      <c r="R13" s="76" t="inlineStr">
        <is>
          <t>Nan</t>
        </is>
      </c>
      <c r="S13" s="94" t="n">
        <v>4.4</v>
      </c>
      <c r="T13" s="93" t="n">
        <v>0.3551341262174714</v>
      </c>
      <c r="U13" s="19" t="n">
        <v>5.5</v>
      </c>
      <c r="V13" s="76" t="inlineStr">
        <is>
          <t>Nan</t>
        </is>
      </c>
      <c r="W13" s="83" t="n">
        <v>2.31</v>
      </c>
      <c r="X13" s="76" t="inlineStr">
        <is>
          <t>Nan</t>
        </is>
      </c>
      <c r="Y13" s="76" t="inlineStr">
        <is>
          <t>Nan</t>
        </is>
      </c>
      <c r="Z13" s="76" t="inlineStr">
        <is>
          <t>Nan</t>
        </is>
      </c>
      <c r="AA13" s="83" t="n">
        <v>26.5</v>
      </c>
      <c r="AB13" s="76" t="inlineStr">
        <is>
          <t>Nan</t>
        </is>
      </c>
      <c r="AC13" s="76" t="inlineStr">
        <is>
          <t>Nan</t>
        </is>
      </c>
      <c r="AD13" s="19" t="n">
        <v>50</v>
      </c>
      <c r="AE13" s="76" t="inlineStr">
        <is>
          <t>Nan</t>
        </is>
      </c>
      <c r="AF13" s="76" t="inlineStr">
        <is>
          <t>Nan</t>
        </is>
      </c>
      <c r="AG13" s="76" t="inlineStr">
        <is>
          <t>Nan</t>
        </is>
      </c>
      <c r="AH13" s="76" t="inlineStr">
        <is>
          <t>Nan</t>
        </is>
      </c>
      <c r="AI13" s="76" t="inlineStr">
        <is>
          <t>Nan</t>
        </is>
      </c>
      <c r="AJ13" s="76" t="inlineStr">
        <is>
          <t>Nan</t>
        </is>
      </c>
      <c r="AK13" s="76" t="inlineStr">
        <is>
          <t>Nan</t>
        </is>
      </c>
      <c r="AL13" s="76" t="inlineStr">
        <is>
          <t>Nan</t>
        </is>
      </c>
      <c r="AM13" s="62" t="n">
        <v>1</v>
      </c>
      <c r="AN13" s="62" t="n">
        <v>1</v>
      </c>
      <c r="AO13" s="62" t="n">
        <v>5</v>
      </c>
      <c r="AP13" s="62" t="n">
        <v>0</v>
      </c>
      <c r="AQ13" s="62" t="n">
        <v>1</v>
      </c>
      <c r="AR13" s="62" t="n">
        <v>1</v>
      </c>
      <c r="AS13" s="62" t="n">
        <v>1</v>
      </c>
    </row>
    <row r="14" ht="18.75" customHeight="1">
      <c r="A14" s="10" t="inlineStr">
        <is>
          <t>Mantis</t>
        </is>
      </c>
      <c r="B14" s="76" t="inlineStr">
        <is>
          <t>Nan</t>
        </is>
      </c>
      <c r="C14" s="74" t="inlineStr">
        <is>
          <t>Nan</t>
        </is>
      </c>
      <c r="D14" s="75" t="n">
        <v>17.99</v>
      </c>
      <c r="E14" s="81" t="inlineStr">
        <is>
          <t>Nan</t>
        </is>
      </c>
      <c r="F14" s="81" t="inlineStr">
        <is>
          <t>Nan</t>
        </is>
      </c>
      <c r="G14" s="84" t="n">
        <v>1.188170275613432</v>
      </c>
      <c r="H14" s="95" t="n">
        <v>15.32104712297011</v>
      </c>
      <c r="I14" s="22" t="n">
        <v>1.48</v>
      </c>
      <c r="J14" s="81" t="inlineStr">
        <is>
          <t>Nan</t>
        </is>
      </c>
      <c r="K14" s="84" t="n">
        <v>0.1919246216763577</v>
      </c>
      <c r="L14" s="23" t="n">
        <v>6.5</v>
      </c>
      <c r="M14" s="96" t="n">
        <v>25</v>
      </c>
      <c r="N14" s="96" t="n">
        <v>2</v>
      </c>
      <c r="O14" s="24" t="n">
        <v>25.6</v>
      </c>
      <c r="P14" s="81" t="inlineStr">
        <is>
          <t>Nan</t>
        </is>
      </c>
      <c r="Q14" s="81" t="inlineStr">
        <is>
          <t>Nan</t>
        </is>
      </c>
      <c r="R14" s="81" t="inlineStr">
        <is>
          <t>Nan</t>
        </is>
      </c>
      <c r="S14" s="97" t="n">
        <v>2.1</v>
      </c>
      <c r="T14" s="95" t="n">
        <v>0.3243350481539728</v>
      </c>
      <c r="U14" s="81" t="inlineStr">
        <is>
          <t>Nan</t>
        </is>
      </c>
      <c r="V14" s="81" t="inlineStr">
        <is>
          <t>Nan</t>
        </is>
      </c>
      <c r="W14" s="97" t="n">
        <v>16.7</v>
      </c>
      <c r="X14" s="76" t="inlineStr">
        <is>
          <t>Nan</t>
        </is>
      </c>
      <c r="Y14" s="81" t="inlineStr">
        <is>
          <t>Nan</t>
        </is>
      </c>
      <c r="Z14" s="81" t="inlineStr">
        <is>
          <t>Nan</t>
        </is>
      </c>
      <c r="AA14" s="76" t="inlineStr">
        <is>
          <t>Nan</t>
        </is>
      </c>
      <c r="AB14" s="76" t="inlineStr">
        <is>
          <t>Nan</t>
        </is>
      </c>
      <c r="AC14" s="81" t="inlineStr">
        <is>
          <t>Nan</t>
        </is>
      </c>
      <c r="AD14" s="25" t="n">
        <v>25</v>
      </c>
      <c r="AE14" s="81" t="inlineStr">
        <is>
          <t>Nan</t>
        </is>
      </c>
      <c r="AF14" s="81" t="inlineStr">
        <is>
          <t>Nan</t>
        </is>
      </c>
      <c r="AG14" s="81" t="inlineStr">
        <is>
          <t>Nan</t>
        </is>
      </c>
      <c r="AH14" s="81" t="inlineStr">
        <is>
          <t>Nan</t>
        </is>
      </c>
      <c r="AI14" s="76" t="inlineStr">
        <is>
          <t>Nan</t>
        </is>
      </c>
      <c r="AJ14" s="76" t="inlineStr">
        <is>
          <t>Nan</t>
        </is>
      </c>
      <c r="AK14" s="76" t="inlineStr">
        <is>
          <t>Nan</t>
        </is>
      </c>
      <c r="AL14" s="76" t="inlineStr">
        <is>
          <t>Nan</t>
        </is>
      </c>
      <c r="AM14" s="62" t="n">
        <v>1</v>
      </c>
      <c r="AN14" s="62" t="n">
        <v>1</v>
      </c>
      <c r="AO14" s="62" t="n">
        <v>5</v>
      </c>
      <c r="AP14" s="62" t="n">
        <v>0</v>
      </c>
      <c r="AQ14" s="62" t="n">
        <v>1</v>
      </c>
      <c r="AR14" s="62" t="n">
        <v>1</v>
      </c>
      <c r="AS14" s="62" t="n">
        <v>1</v>
      </c>
    </row>
    <row r="15" ht="18.75" customHeight="1">
      <c r="A15" s="10" t="inlineStr">
        <is>
          <t>ScanEagle</t>
        </is>
      </c>
      <c r="B15" s="76" t="inlineStr">
        <is>
          <t>Nan</t>
        </is>
      </c>
      <c r="C15" s="74" t="inlineStr">
        <is>
          <t>Nan</t>
        </is>
      </c>
      <c r="D15" s="75" t="n">
        <v>30.16</v>
      </c>
      <c r="E15" s="13" t="n">
        <v>19500</v>
      </c>
      <c r="F15" s="76" t="inlineStr">
        <is>
          <t>Nan</t>
        </is>
      </c>
      <c r="G15" s="82" t="n">
        <v>1.17407938181144</v>
      </c>
      <c r="H15" s="93" t="n">
        <v>13.19730958047606</v>
      </c>
      <c r="I15" s="15" t="n">
        <v>1.71</v>
      </c>
      <c r="J15" s="76" t="inlineStr">
        <is>
          <t>Nan</t>
        </is>
      </c>
      <c r="K15" s="82" t="n">
        <v>0.2607566509332762</v>
      </c>
      <c r="L15" s="17" t="n">
        <v>26.5</v>
      </c>
      <c r="M15" s="85" t="n">
        <v>1814.4</v>
      </c>
      <c r="N15" s="18" t="n">
        <v>18</v>
      </c>
      <c r="O15" s="18" t="n">
        <v>41.2</v>
      </c>
      <c r="P15" s="76" t="inlineStr">
        <is>
          <t>Nan</t>
        </is>
      </c>
      <c r="Q15" s="76" t="inlineStr">
        <is>
          <t>Nan</t>
        </is>
      </c>
      <c r="R15" s="76" t="inlineStr">
        <is>
          <t>Nan</t>
        </is>
      </c>
      <c r="S15" s="94" t="n">
        <v>3.1</v>
      </c>
      <c r="T15" s="93" t="n">
        <v>0.3207185024065228</v>
      </c>
      <c r="U15" s="19" t="n">
        <v>5</v>
      </c>
      <c r="V15" s="76" t="inlineStr">
        <is>
          <t>Nan</t>
        </is>
      </c>
      <c r="W15" s="19" t="n">
        <v>28</v>
      </c>
      <c r="X15" s="76" t="inlineStr">
        <is>
          <t>Nan</t>
        </is>
      </c>
      <c r="Y15" s="76" t="inlineStr">
        <is>
          <t>Nan</t>
        </is>
      </c>
      <c r="Z15" s="76" t="inlineStr">
        <is>
          <t>Nan</t>
        </is>
      </c>
      <c r="AA15" s="83" t="n">
        <v>21.5</v>
      </c>
      <c r="AB15" s="76" t="inlineStr">
        <is>
          <t>Nan</t>
        </is>
      </c>
      <c r="AC15" s="76" t="inlineStr">
        <is>
          <t>Nan</t>
        </is>
      </c>
      <c r="AD15" s="19" t="n">
        <v>101.86</v>
      </c>
      <c r="AE15" s="76" t="inlineStr">
        <is>
          <t>Nan</t>
        </is>
      </c>
      <c r="AF15" s="76" t="inlineStr">
        <is>
          <t>Nan</t>
        </is>
      </c>
      <c r="AG15" s="76" t="inlineStr">
        <is>
          <t>Nan</t>
        </is>
      </c>
      <c r="AH15" s="76" t="inlineStr">
        <is>
          <t>Nan</t>
        </is>
      </c>
      <c r="AI15" s="76" t="inlineStr">
        <is>
          <t>Nan</t>
        </is>
      </c>
      <c r="AJ15" s="76" t="inlineStr">
        <is>
          <t>Nan</t>
        </is>
      </c>
      <c r="AK15" s="76" t="inlineStr">
        <is>
          <t>Nan</t>
        </is>
      </c>
      <c r="AL15" s="76" t="inlineStr">
        <is>
          <t>Nan</t>
        </is>
      </c>
      <c r="AM15" s="62" t="n">
        <v>1</v>
      </c>
      <c r="AN15" s="62" t="n">
        <v>2</v>
      </c>
      <c r="AO15" s="62" t="n">
        <v>5</v>
      </c>
      <c r="AP15" s="62" t="n">
        <v>0</v>
      </c>
      <c r="AQ15" s="62" t="n">
        <v>1</v>
      </c>
      <c r="AR15" s="62" t="n">
        <v>1</v>
      </c>
      <c r="AS15" s="62" t="n">
        <v>1</v>
      </c>
    </row>
    <row r="16" ht="18.75" customHeight="1">
      <c r="A16" s="10" t="inlineStr">
        <is>
          <t>Integrator</t>
        </is>
      </c>
      <c r="B16" s="76" t="inlineStr">
        <is>
          <t>Nan</t>
        </is>
      </c>
      <c r="C16" s="74" t="inlineStr">
        <is>
          <t>Nan</t>
        </is>
      </c>
      <c r="D16" s="75" t="n">
        <v>30.49</v>
      </c>
      <c r="E16" s="13" t="n">
        <v>19500</v>
      </c>
      <c r="F16" s="76" t="inlineStr">
        <is>
          <t>Nan</t>
        </is>
      </c>
      <c r="G16" s="82" t="n">
        <v>1.097774439984101</v>
      </c>
      <c r="H16" s="98" t="n">
        <v>14.92608589158406</v>
      </c>
      <c r="I16" s="15" t="n">
        <v>2.5</v>
      </c>
      <c r="J16" s="76" t="inlineStr">
        <is>
          <t>Nan</t>
        </is>
      </c>
      <c r="K16" s="82" t="n">
        <v>0.214605889652977</v>
      </c>
      <c r="L16" s="17" t="n">
        <v>74.8</v>
      </c>
      <c r="M16" s="85" t="n">
        <v>2445.12</v>
      </c>
      <c r="N16" s="18" t="n">
        <v>24</v>
      </c>
      <c r="O16" s="18" t="n">
        <v>46.3</v>
      </c>
      <c r="P16" s="76" t="inlineStr">
        <is>
          <t>Nan</t>
        </is>
      </c>
      <c r="Q16" s="76" t="inlineStr">
        <is>
          <t>Nan</t>
        </is>
      </c>
      <c r="R16" s="76" t="inlineStr">
        <is>
          <t>Nan</t>
        </is>
      </c>
      <c r="S16" s="92" t="n">
        <v>4.8</v>
      </c>
      <c r="T16" s="98" t="n">
        <v>0.3067215045531159</v>
      </c>
      <c r="U16" s="19" t="n">
        <v>18</v>
      </c>
      <c r="V16" s="76" t="inlineStr">
        <is>
          <t>Nan</t>
        </is>
      </c>
      <c r="W16" s="19" t="n">
        <v>28.3</v>
      </c>
      <c r="X16" s="76" t="inlineStr">
        <is>
          <t>Nan</t>
        </is>
      </c>
      <c r="Y16" s="76" t="inlineStr">
        <is>
          <t>Nan</t>
        </is>
      </c>
      <c r="Z16" s="76" t="inlineStr">
        <is>
          <t>Nan</t>
        </is>
      </c>
      <c r="AA16" s="83" t="n">
        <v>56.8</v>
      </c>
      <c r="AB16" s="76" t="inlineStr">
        <is>
          <t>Nan</t>
        </is>
      </c>
      <c r="AC16" s="76" t="inlineStr">
        <is>
          <t>Nan</t>
        </is>
      </c>
      <c r="AD16" s="19" t="n">
        <v>92.59999999999999</v>
      </c>
      <c r="AE16" s="76" t="inlineStr">
        <is>
          <t>Nan</t>
        </is>
      </c>
      <c r="AF16" s="76" t="inlineStr">
        <is>
          <t>Nan</t>
        </is>
      </c>
      <c r="AG16" s="76" t="inlineStr">
        <is>
          <t>Nan</t>
        </is>
      </c>
      <c r="AH16" s="76" t="inlineStr">
        <is>
          <t>Nan</t>
        </is>
      </c>
      <c r="AI16" s="76" t="inlineStr">
        <is>
          <t>Nan</t>
        </is>
      </c>
      <c r="AJ16" s="76" t="inlineStr">
        <is>
          <t>Nan</t>
        </is>
      </c>
      <c r="AK16" s="76" t="inlineStr">
        <is>
          <t>Nan</t>
        </is>
      </c>
      <c r="AL16" s="76" t="inlineStr">
        <is>
          <t>Nan</t>
        </is>
      </c>
      <c r="AM16" s="62" t="n">
        <v>1</v>
      </c>
      <c r="AN16" s="62" t="n">
        <v>2</v>
      </c>
      <c r="AO16" s="62" t="n">
        <v>5</v>
      </c>
      <c r="AP16" s="62" t="n">
        <v>0</v>
      </c>
      <c r="AQ16" s="62" t="n">
        <v>1</v>
      </c>
      <c r="AR16" s="62" t="n">
        <v>1</v>
      </c>
      <c r="AS16" s="62" t="n">
        <v>1</v>
      </c>
    </row>
    <row r="17" ht="18.75" customHeight="1">
      <c r="A17" s="10" t="inlineStr">
        <is>
          <t>Integrator VTOL</t>
        </is>
      </c>
      <c r="B17" s="74" t="inlineStr">
        <is>
          <t>Nan</t>
        </is>
      </c>
      <c r="C17" s="13" t="n">
        <v>5000</v>
      </c>
      <c r="D17" s="76" t="inlineStr">
        <is>
          <t>Nan</t>
        </is>
      </c>
      <c r="E17" s="76" t="inlineStr">
        <is>
          <t>Nan</t>
        </is>
      </c>
      <c r="F17" s="76" t="inlineStr">
        <is>
          <t>Nan</t>
        </is>
      </c>
      <c r="G17" s="82" t="n">
        <v>2.037590008568727</v>
      </c>
      <c r="H17" s="76" t="inlineStr">
        <is>
          <t>Nan</t>
        </is>
      </c>
      <c r="I17" s="76" t="inlineStr">
        <is>
          <t>Nan</t>
        </is>
      </c>
      <c r="J17" s="76" t="inlineStr">
        <is>
          <t>Nan</t>
        </is>
      </c>
      <c r="K17" s="76" t="inlineStr">
        <is>
          <t>Nan</t>
        </is>
      </c>
      <c r="L17" s="17" t="n">
        <v>75</v>
      </c>
      <c r="M17" s="76" t="inlineStr">
        <is>
          <t>Nan</t>
        </is>
      </c>
      <c r="N17" s="18" t="n">
        <v>16</v>
      </c>
      <c r="O17" s="82" t="n">
        <v>37.39932621900002</v>
      </c>
      <c r="P17" s="76" t="inlineStr">
        <is>
          <t>Nan</t>
        </is>
      </c>
      <c r="Q17" s="76" t="inlineStr">
        <is>
          <t>Nan</t>
        </is>
      </c>
      <c r="R17" s="76" t="inlineStr">
        <is>
          <t>Nan</t>
        </is>
      </c>
      <c r="S17" s="76" t="inlineStr">
        <is>
          <t>Nan</t>
        </is>
      </c>
      <c r="T17" s="76" t="inlineStr">
        <is>
          <t>Nan</t>
        </is>
      </c>
      <c r="U17" s="19" t="n">
        <v>18</v>
      </c>
      <c r="V17" s="76" t="inlineStr">
        <is>
          <t>Nan</t>
        </is>
      </c>
      <c r="W17" s="76" t="inlineStr">
        <is>
          <t>Nan</t>
        </is>
      </c>
      <c r="X17" s="76" t="inlineStr">
        <is>
          <t>Nan</t>
        </is>
      </c>
      <c r="Y17" s="76" t="inlineStr">
        <is>
          <t>Nan</t>
        </is>
      </c>
      <c r="Z17" s="76" t="inlineStr">
        <is>
          <t>Nan</t>
        </is>
      </c>
      <c r="AA17" s="83" t="n">
        <v>57</v>
      </c>
      <c r="AB17" s="76" t="inlineStr">
        <is>
          <t>Nan</t>
        </is>
      </c>
      <c r="AC17" s="19" t="n">
        <v>30</v>
      </c>
      <c r="AD17" s="76" t="inlineStr">
        <is>
          <t>Nan</t>
        </is>
      </c>
      <c r="AE17" s="76" t="inlineStr">
        <is>
          <t>Nan</t>
        </is>
      </c>
      <c r="AF17" s="76" t="inlineStr">
        <is>
          <t>Nan</t>
        </is>
      </c>
      <c r="AG17" s="76" t="inlineStr">
        <is>
          <t>Nan</t>
        </is>
      </c>
      <c r="AH17" s="76" t="inlineStr">
        <is>
          <t>Nan</t>
        </is>
      </c>
      <c r="AI17" s="76" t="inlineStr">
        <is>
          <t>Nan</t>
        </is>
      </c>
      <c r="AJ17" s="76" t="inlineStr">
        <is>
          <t>Nan</t>
        </is>
      </c>
      <c r="AK17" s="76" t="inlineStr">
        <is>
          <t>Nan</t>
        </is>
      </c>
      <c r="AL17" s="76" t="inlineStr">
        <is>
          <t>Nan</t>
        </is>
      </c>
      <c r="AM17" s="62" t="n">
        <v>2</v>
      </c>
      <c r="AN17" s="62" t="n">
        <v>2</v>
      </c>
      <c r="AO17" s="62" t="n">
        <v>1</v>
      </c>
      <c r="AP17" s="62" t="n">
        <v>4</v>
      </c>
      <c r="AQ17" s="62" t="n">
        <v>1</v>
      </c>
      <c r="AR17" s="62" t="n">
        <v>1</v>
      </c>
      <c r="AS17" s="62" t="n">
        <v>1</v>
      </c>
    </row>
    <row r="18" ht="18.75" customHeight="1">
      <c r="A18" s="10" t="inlineStr">
        <is>
          <t>Integrator Extended Range</t>
        </is>
      </c>
      <c r="B18" s="76" t="inlineStr">
        <is>
          <t>Nan</t>
        </is>
      </c>
      <c r="C18" s="74" t="inlineStr">
        <is>
          <t>Nan</t>
        </is>
      </c>
      <c r="D18" s="75" t="n">
        <v>7.87</v>
      </c>
      <c r="E18" s="13" t="n">
        <v>19500</v>
      </c>
      <c r="F18" s="76" t="inlineStr">
        <is>
          <t>Nan</t>
        </is>
      </c>
      <c r="G18" s="82" t="n">
        <v>1.090022089071698</v>
      </c>
      <c r="H18" s="98" t="n">
        <v>15.28157538474792</v>
      </c>
      <c r="I18" s="15" t="n">
        <v>2.5</v>
      </c>
      <c r="J18" s="76" t="inlineStr">
        <is>
          <t>Nan</t>
        </is>
      </c>
      <c r="K18" s="82" t="n">
        <v>0.2107321047573626</v>
      </c>
      <c r="L18" s="17" t="n">
        <v>74.8</v>
      </c>
      <c r="M18" s="18" t="n">
        <v>500</v>
      </c>
      <c r="N18" s="18" t="n">
        <v>19</v>
      </c>
      <c r="O18" s="18" t="n">
        <v>46.3</v>
      </c>
      <c r="P18" s="76" t="inlineStr">
        <is>
          <t>Nan</t>
        </is>
      </c>
      <c r="Q18" s="76" t="inlineStr">
        <is>
          <t>Nan</t>
        </is>
      </c>
      <c r="R18" s="76" t="inlineStr">
        <is>
          <t>Nan</t>
        </is>
      </c>
      <c r="S18" s="92" t="n">
        <v>4.8</v>
      </c>
      <c r="T18" s="98" t="n">
        <v>0.3067215045531159</v>
      </c>
      <c r="U18" s="19" t="n">
        <v>18</v>
      </c>
      <c r="V18" s="76" t="inlineStr">
        <is>
          <t>Nan</t>
        </is>
      </c>
      <c r="W18" s="83" t="n">
        <v>7.31</v>
      </c>
      <c r="X18" s="76" t="inlineStr">
        <is>
          <t>Nan</t>
        </is>
      </c>
      <c r="Y18" s="76" t="inlineStr">
        <is>
          <t>Nan</t>
        </is>
      </c>
      <c r="Z18" s="76" t="inlineStr">
        <is>
          <t>Nan</t>
        </is>
      </c>
      <c r="AA18" s="83" t="n">
        <v>56.8</v>
      </c>
      <c r="AB18" s="76" t="inlineStr">
        <is>
          <t>Nan</t>
        </is>
      </c>
      <c r="AC18" s="76" t="inlineStr">
        <is>
          <t>Nan</t>
        </is>
      </c>
      <c r="AD18" s="82" t="n">
        <v>88.66105766749872</v>
      </c>
      <c r="AE18" s="76" t="inlineStr">
        <is>
          <t>Nan</t>
        </is>
      </c>
      <c r="AF18" s="76" t="inlineStr">
        <is>
          <t>Nan</t>
        </is>
      </c>
      <c r="AG18" s="76" t="inlineStr">
        <is>
          <t>Nan</t>
        </is>
      </c>
      <c r="AH18" s="76" t="inlineStr">
        <is>
          <t>Nan</t>
        </is>
      </c>
      <c r="AI18" s="76" t="inlineStr">
        <is>
          <t>Nan</t>
        </is>
      </c>
      <c r="AJ18" s="76" t="inlineStr">
        <is>
          <t>Nan</t>
        </is>
      </c>
      <c r="AK18" s="76" t="inlineStr">
        <is>
          <t>Nan</t>
        </is>
      </c>
      <c r="AL18" s="76" t="inlineStr">
        <is>
          <t>Nan</t>
        </is>
      </c>
      <c r="AM18" s="62" t="n">
        <v>1</v>
      </c>
      <c r="AN18" s="62" t="n">
        <v>2</v>
      </c>
      <c r="AO18" s="62" t="n">
        <v>5</v>
      </c>
      <c r="AP18" s="62" t="n">
        <v>0</v>
      </c>
      <c r="AQ18" s="62" t="n">
        <v>1</v>
      </c>
      <c r="AR18" s="62" t="n">
        <v>1</v>
      </c>
      <c r="AS18" s="62" t="n">
        <v>1</v>
      </c>
    </row>
    <row r="19" ht="18.75" customHeight="1">
      <c r="A19" s="10" t="inlineStr">
        <is>
          <t>ScanEagle 3</t>
        </is>
      </c>
      <c r="B19" s="76" t="inlineStr">
        <is>
          <t>Nan</t>
        </is>
      </c>
      <c r="C19" s="74" t="inlineStr">
        <is>
          <t>Nan</t>
        </is>
      </c>
      <c r="D19" s="75" t="n">
        <v>25.32</v>
      </c>
      <c r="E19" s="13" t="n">
        <v>20</v>
      </c>
      <c r="F19" s="76" t="inlineStr">
        <is>
          <t>Nan</t>
        </is>
      </c>
      <c r="G19" s="82" t="n">
        <v>1.022686546831195</v>
      </c>
      <c r="H19" s="98" t="n">
        <v>13.38887299375229</v>
      </c>
      <c r="I19" s="15" t="n">
        <v>2.4</v>
      </c>
      <c r="J19" s="76" t="inlineStr">
        <is>
          <t>Nan</t>
        </is>
      </c>
      <c r="K19" s="82" t="n">
        <v>0.2346400380289654</v>
      </c>
      <c r="L19" s="17" t="n">
        <v>36.3</v>
      </c>
      <c r="M19" s="85" t="n">
        <v>1522.8</v>
      </c>
      <c r="N19" s="18" t="n">
        <v>18</v>
      </c>
      <c r="O19" s="18" t="n">
        <v>41.2</v>
      </c>
      <c r="P19" s="76" t="inlineStr">
        <is>
          <t>Nan</t>
        </is>
      </c>
      <c r="Q19" s="76" t="inlineStr">
        <is>
          <t>Nan</t>
        </is>
      </c>
      <c r="R19" s="76" t="inlineStr">
        <is>
          <t>Nan</t>
        </is>
      </c>
      <c r="S19" s="92" t="n">
        <v>4</v>
      </c>
      <c r="T19" s="98" t="n">
        <v>0.2924160207644709</v>
      </c>
      <c r="U19" s="19" t="n">
        <v>8.6</v>
      </c>
      <c r="V19" s="76" t="inlineStr">
        <is>
          <t>Nan</t>
        </is>
      </c>
      <c r="W19" s="19" t="n">
        <v>23.5</v>
      </c>
      <c r="X19" s="76" t="inlineStr">
        <is>
          <t>Nan</t>
        </is>
      </c>
      <c r="Y19" s="76" t="inlineStr">
        <is>
          <t>Nan</t>
        </is>
      </c>
      <c r="Z19" s="76" t="inlineStr">
        <is>
          <t>Nan</t>
        </is>
      </c>
      <c r="AA19" s="83" t="n">
        <v>27.7</v>
      </c>
      <c r="AB19" s="76" t="inlineStr">
        <is>
          <t>Nan</t>
        </is>
      </c>
      <c r="AC19" s="76" t="inlineStr">
        <is>
          <t>Nan</t>
        </is>
      </c>
      <c r="AD19" s="82" t="n">
        <v>122.7250235700537</v>
      </c>
      <c r="AE19" s="76" t="inlineStr">
        <is>
          <t>Nan</t>
        </is>
      </c>
      <c r="AF19" s="76" t="inlineStr">
        <is>
          <t>Nan</t>
        </is>
      </c>
      <c r="AG19" s="76" t="inlineStr">
        <is>
          <t>Nan</t>
        </is>
      </c>
      <c r="AH19" s="76" t="inlineStr">
        <is>
          <t>Nan</t>
        </is>
      </c>
      <c r="AI19" s="19" t="n">
        <v>170</v>
      </c>
      <c r="AJ19" s="76" t="inlineStr">
        <is>
          <t>Nan</t>
        </is>
      </c>
      <c r="AK19" s="76" t="inlineStr">
        <is>
          <t>Nan</t>
        </is>
      </c>
      <c r="AL19" s="76" t="inlineStr">
        <is>
          <t>Nan</t>
        </is>
      </c>
      <c r="AM19" s="62" t="n">
        <v>1</v>
      </c>
      <c r="AN19" s="62" t="n">
        <v>2</v>
      </c>
      <c r="AO19" s="62" t="n">
        <v>5</v>
      </c>
      <c r="AP19" s="62" t="n">
        <v>0</v>
      </c>
      <c r="AQ19" s="62" t="n">
        <v>1</v>
      </c>
      <c r="AR19" s="62" t="n">
        <v>1</v>
      </c>
      <c r="AS19" s="62" t="n">
        <v>1</v>
      </c>
    </row>
    <row r="20" ht="18.75" customHeight="1">
      <c r="A20" s="10" t="inlineStr">
        <is>
          <t>RQ Nan 21A Blackjack</t>
        </is>
      </c>
      <c r="B20" s="76" t="inlineStr">
        <is>
          <t>Nan</t>
        </is>
      </c>
      <c r="C20" s="74" t="inlineStr">
        <is>
          <t>Nan</t>
        </is>
      </c>
      <c r="D20" s="75" t="n">
        <v>33.29</v>
      </c>
      <c r="E20" s="13" t="n">
        <v>20</v>
      </c>
      <c r="F20" s="76" t="inlineStr">
        <is>
          <t>Nan</t>
        </is>
      </c>
      <c r="G20" s="82" t="n">
        <v>1.097774439984101</v>
      </c>
      <c r="H20" s="93" t="n">
        <v>12.50833744325096</v>
      </c>
      <c r="I20" s="15" t="n">
        <v>2.5</v>
      </c>
      <c r="J20" s="76" t="inlineStr">
        <is>
          <t>Nan</t>
        </is>
      </c>
      <c r="K20" s="82" t="n">
        <v>0.2765400831686758</v>
      </c>
      <c r="L20" s="17" t="n">
        <v>61</v>
      </c>
      <c r="M20" s="85" t="n">
        <v>1779.84</v>
      </c>
      <c r="N20" s="18" t="n">
        <v>16</v>
      </c>
      <c r="O20" s="18" t="n">
        <v>46.3</v>
      </c>
      <c r="P20" s="76" t="inlineStr">
        <is>
          <t>Nan</t>
        </is>
      </c>
      <c r="Q20" s="76" t="inlineStr">
        <is>
          <t>Nan</t>
        </is>
      </c>
      <c r="R20" s="76" t="inlineStr">
        <is>
          <t>Nan</t>
        </is>
      </c>
      <c r="S20" s="94" t="n">
        <v>4.8</v>
      </c>
      <c r="T20" s="93" t="n">
        <v>0.3067215045531159</v>
      </c>
      <c r="U20" s="19" t="n">
        <v>17.7</v>
      </c>
      <c r="V20" s="76" t="inlineStr">
        <is>
          <t>Nan</t>
        </is>
      </c>
      <c r="W20" s="19" t="n">
        <v>30.9</v>
      </c>
      <c r="X20" s="74" t="inlineStr">
        <is>
          <t>Nan</t>
        </is>
      </c>
      <c r="Y20" s="76" t="inlineStr">
        <is>
          <t>Nan</t>
        </is>
      </c>
      <c r="Z20" s="76" t="inlineStr">
        <is>
          <t>Nan</t>
        </is>
      </c>
      <c r="AA20" s="83" t="n">
        <v>43.3</v>
      </c>
      <c r="AB20" s="76" t="inlineStr">
        <is>
          <t>Nan</t>
        </is>
      </c>
      <c r="AC20" s="76" t="inlineStr">
        <is>
          <t>Nan</t>
        </is>
      </c>
      <c r="AD20" s="19" t="n">
        <v>92.59999999999999</v>
      </c>
      <c r="AE20" s="76" t="inlineStr">
        <is>
          <t>Nan</t>
        </is>
      </c>
      <c r="AF20" s="76" t="inlineStr">
        <is>
          <t>Nan</t>
        </is>
      </c>
      <c r="AG20" s="76" t="inlineStr">
        <is>
          <t>Nan</t>
        </is>
      </c>
      <c r="AH20" s="76" t="inlineStr">
        <is>
          <t>Nan</t>
        </is>
      </c>
      <c r="AI20" s="76" t="inlineStr">
        <is>
          <t>Nan</t>
        </is>
      </c>
      <c r="AJ20" s="19" t="n">
        <v>8</v>
      </c>
      <c r="AK20" s="76" t="inlineStr">
        <is>
          <t>Nan</t>
        </is>
      </c>
      <c r="AL20" s="76" t="inlineStr">
        <is>
          <t>Nan</t>
        </is>
      </c>
      <c r="AM20" s="62" t="n">
        <v>1</v>
      </c>
      <c r="AN20" s="62" t="n">
        <v>2</v>
      </c>
      <c r="AO20" s="62" t="n">
        <v>5</v>
      </c>
      <c r="AP20" s="62" t="n">
        <v>0</v>
      </c>
      <c r="AQ20" s="62" t="n">
        <v>1</v>
      </c>
      <c r="AR20" s="62" t="n">
        <v>1</v>
      </c>
      <c r="AS20" s="62" t="n">
        <v>1</v>
      </c>
    </row>
    <row r="21" ht="18.75" customHeight="1">
      <c r="A21" s="10" t="inlineStr">
        <is>
          <t>DeltaQuad Evo</t>
        </is>
      </c>
      <c r="B21" s="74" t="inlineStr">
        <is>
          <t>Nan</t>
        </is>
      </c>
      <c r="C21" s="74" t="inlineStr">
        <is>
          <t>Nan</t>
        </is>
      </c>
      <c r="D21" s="75" t="n">
        <v>17.82</v>
      </c>
      <c r="E21" s="13" t="n">
        <v>13</v>
      </c>
      <c r="F21" s="76" t="inlineStr">
        <is>
          <t>Nan</t>
        </is>
      </c>
      <c r="G21" s="15" t="n">
        <v>0.84</v>
      </c>
      <c r="H21" s="76" t="inlineStr">
        <is>
          <t>Nan</t>
        </is>
      </c>
      <c r="I21" s="15" t="n">
        <v>0.75</v>
      </c>
      <c r="J21" s="76" t="inlineStr">
        <is>
          <t>Nan</t>
        </is>
      </c>
      <c r="K21" s="76" t="inlineStr">
        <is>
          <t>Nan</t>
        </is>
      </c>
      <c r="L21" s="17" t="n">
        <v>10</v>
      </c>
      <c r="M21" s="18" t="n">
        <v>270</v>
      </c>
      <c r="N21" s="18" t="n">
        <v>4.53</v>
      </c>
      <c r="O21" s="82" t="n">
        <v>32.312906022965</v>
      </c>
      <c r="P21" s="76" t="inlineStr">
        <is>
          <t>Nan</t>
        </is>
      </c>
      <c r="Q21" s="76" t="inlineStr">
        <is>
          <t>Nan</t>
        </is>
      </c>
      <c r="R21" s="76" t="inlineStr">
        <is>
          <t>Nan</t>
        </is>
      </c>
      <c r="S21" s="19" t="n">
        <v>2.69</v>
      </c>
      <c r="T21" s="76" t="inlineStr">
        <is>
          <t>Nan</t>
        </is>
      </c>
      <c r="U21" s="19" t="n">
        <v>3</v>
      </c>
      <c r="V21" s="76" t="inlineStr">
        <is>
          <t>Nan</t>
        </is>
      </c>
      <c r="W21" s="19" t="n">
        <v>16.54</v>
      </c>
      <c r="X21" s="74" t="inlineStr">
        <is>
          <t>Nan</t>
        </is>
      </c>
      <c r="Y21" s="19" t="n">
        <v>4.8</v>
      </c>
      <c r="Z21" s="19" t="n">
        <v>4.8</v>
      </c>
      <c r="AA21" s="19" t="n">
        <v>6.8</v>
      </c>
      <c r="AB21" s="76" t="inlineStr">
        <is>
          <t>Nan</t>
        </is>
      </c>
      <c r="AC21" s="19" t="n">
        <v>45</v>
      </c>
      <c r="AD21" s="76" t="inlineStr">
        <is>
          <t>Nan</t>
        </is>
      </c>
      <c r="AE21" s="76" t="inlineStr">
        <is>
          <t>Nan</t>
        </is>
      </c>
      <c r="AF21" s="76" t="inlineStr">
        <is>
          <t>Nan</t>
        </is>
      </c>
      <c r="AG21" s="76" t="inlineStr">
        <is>
          <t>Nan</t>
        </is>
      </c>
      <c r="AH21" s="76" t="inlineStr">
        <is>
          <t>Nan</t>
        </is>
      </c>
      <c r="AI21" s="76" t="inlineStr">
        <is>
          <t>Nan</t>
        </is>
      </c>
      <c r="AJ21" s="76" t="inlineStr">
        <is>
          <t>Nan</t>
        </is>
      </c>
      <c r="AK21" s="76" t="inlineStr">
        <is>
          <t>Nan</t>
        </is>
      </c>
      <c r="AL21" s="76" t="inlineStr">
        <is>
          <t>Nan</t>
        </is>
      </c>
      <c r="AM21" s="62" t="n">
        <v>2</v>
      </c>
      <c r="AN21" s="62" t="n">
        <v>1</v>
      </c>
      <c r="AO21" s="62" t="n">
        <v>1</v>
      </c>
      <c r="AP21" s="62" t="n">
        <v>4</v>
      </c>
      <c r="AQ21" s="62" t="n">
        <v>1</v>
      </c>
      <c r="AR21" s="62" t="n">
        <v>1</v>
      </c>
      <c r="AS21" s="62" t="n">
        <v>1</v>
      </c>
    </row>
    <row r="22" ht="18.75" customHeight="1">
      <c r="A22" s="10" t="inlineStr">
        <is>
          <t>DeltaQuad Pro #MAP</t>
        </is>
      </c>
      <c r="B22" s="74" t="inlineStr">
        <is>
          <t>Nan</t>
        </is>
      </c>
      <c r="C22" s="74" t="inlineStr">
        <is>
          <t>Nan</t>
        </is>
      </c>
      <c r="D22" s="75" t="n">
        <v>17.24</v>
      </c>
      <c r="E22" s="13" t="n">
        <v>13.123</v>
      </c>
      <c r="F22" s="76" t="inlineStr">
        <is>
          <t>Nan</t>
        </is>
      </c>
      <c r="G22" s="76" t="inlineStr">
        <is>
          <t>Nan</t>
        </is>
      </c>
      <c r="H22" s="76" t="inlineStr">
        <is>
          <t>Nan</t>
        </is>
      </c>
      <c r="I22" s="15" t="n">
        <v>0.9</v>
      </c>
      <c r="J22" s="76" t="inlineStr">
        <is>
          <t>Nan</t>
        </is>
      </c>
      <c r="K22" s="76" t="inlineStr">
        <is>
          <t>Nan</t>
        </is>
      </c>
      <c r="L22" s="17" t="n">
        <v>6.2</v>
      </c>
      <c r="M22" s="91" t="n">
        <v>100</v>
      </c>
      <c r="N22" s="91" t="n">
        <v>1.83</v>
      </c>
      <c r="O22" s="82" t="n">
        <v>38.89213671936784</v>
      </c>
      <c r="P22" s="76" t="inlineStr">
        <is>
          <t>Nan</t>
        </is>
      </c>
      <c r="Q22" s="76" t="inlineStr">
        <is>
          <t>Nan</t>
        </is>
      </c>
      <c r="R22" s="76" t="inlineStr">
        <is>
          <t>Nan</t>
        </is>
      </c>
      <c r="S22" s="19" t="n">
        <v>2.35</v>
      </c>
      <c r="T22" s="76" t="inlineStr">
        <is>
          <t>Nan</t>
        </is>
      </c>
      <c r="U22" s="19" t="n">
        <v>1.2</v>
      </c>
      <c r="V22" s="76" t="inlineStr">
        <is>
          <t>Nan</t>
        </is>
      </c>
      <c r="W22" s="92" t="n">
        <v>16</v>
      </c>
      <c r="X22" s="76" t="inlineStr">
        <is>
          <t>Nan</t>
        </is>
      </c>
      <c r="Y22" s="76" t="inlineStr">
        <is>
          <t>Nan</t>
        </is>
      </c>
      <c r="Z22" s="76" t="inlineStr">
        <is>
          <t>Nan</t>
        </is>
      </c>
      <c r="AA22" s="83" t="n">
        <v>5</v>
      </c>
      <c r="AB22" s="76" t="inlineStr">
        <is>
          <t>Nan</t>
        </is>
      </c>
      <c r="AC22" s="19" t="n">
        <v>50</v>
      </c>
      <c r="AD22" s="19" t="n">
        <v>50</v>
      </c>
      <c r="AE22" s="76" t="inlineStr">
        <is>
          <t>Nan</t>
        </is>
      </c>
      <c r="AF22" s="76" t="inlineStr">
        <is>
          <t>Nan</t>
        </is>
      </c>
      <c r="AG22" s="76" t="inlineStr">
        <is>
          <t>Nan</t>
        </is>
      </c>
      <c r="AH22" s="76" t="inlineStr">
        <is>
          <t>Nan</t>
        </is>
      </c>
      <c r="AI22" s="76" t="inlineStr">
        <is>
          <t>Nan</t>
        </is>
      </c>
      <c r="AJ22" s="76" t="inlineStr">
        <is>
          <t>Nan</t>
        </is>
      </c>
      <c r="AK22" s="76" t="inlineStr">
        <is>
          <t>Nan</t>
        </is>
      </c>
      <c r="AL22" s="76" t="inlineStr">
        <is>
          <t>Nan</t>
        </is>
      </c>
      <c r="AM22" s="62" t="n">
        <v>2</v>
      </c>
      <c r="AN22" s="62" t="n">
        <v>1</v>
      </c>
      <c r="AO22" s="62" t="n">
        <v>1</v>
      </c>
      <c r="AP22" s="62" t="n">
        <v>4</v>
      </c>
      <c r="AQ22" s="62" t="n">
        <v>1</v>
      </c>
      <c r="AR22" s="62" t="n">
        <v>1</v>
      </c>
      <c r="AS22" s="62" t="n">
        <v>1</v>
      </c>
    </row>
    <row r="23" ht="18.75" customHeight="1">
      <c r="A23" s="10" t="inlineStr">
        <is>
          <t>DeltaQuad Pro #CARGO</t>
        </is>
      </c>
      <c r="B23" s="74" t="inlineStr">
        <is>
          <t>Nan</t>
        </is>
      </c>
      <c r="C23" s="74" t="inlineStr">
        <is>
          <t>Nan</t>
        </is>
      </c>
      <c r="D23" s="75" t="n">
        <v>17.24</v>
      </c>
      <c r="E23" s="13" t="n">
        <v>13.123</v>
      </c>
      <c r="F23" s="76" t="inlineStr">
        <is>
          <t>Nan</t>
        </is>
      </c>
      <c r="G23" s="76" t="inlineStr">
        <is>
          <t>Nan</t>
        </is>
      </c>
      <c r="H23" s="76" t="inlineStr">
        <is>
          <t>Nan</t>
        </is>
      </c>
      <c r="I23" s="15" t="n">
        <v>0.9</v>
      </c>
      <c r="J23" s="76" t="inlineStr">
        <is>
          <t>Nan</t>
        </is>
      </c>
      <c r="K23" s="76" t="inlineStr">
        <is>
          <t>Nan</t>
        </is>
      </c>
      <c r="L23" s="17" t="n">
        <v>6.2</v>
      </c>
      <c r="M23" s="91" t="n">
        <v>100</v>
      </c>
      <c r="N23" s="91" t="n">
        <v>1.83</v>
      </c>
      <c r="O23" s="82" t="n">
        <v>38.89213671936784</v>
      </c>
      <c r="P23" s="76" t="inlineStr">
        <is>
          <t>Nan</t>
        </is>
      </c>
      <c r="Q23" s="76" t="inlineStr">
        <is>
          <t>Nan</t>
        </is>
      </c>
      <c r="R23" s="76" t="inlineStr">
        <is>
          <t>Nan</t>
        </is>
      </c>
      <c r="S23" s="19" t="n">
        <v>2.35</v>
      </c>
      <c r="T23" s="76" t="inlineStr">
        <is>
          <t>Nan</t>
        </is>
      </c>
      <c r="U23" s="19" t="n">
        <v>1.2</v>
      </c>
      <c r="V23" s="76" t="inlineStr">
        <is>
          <t>Nan</t>
        </is>
      </c>
      <c r="W23" s="92" t="n">
        <v>16</v>
      </c>
      <c r="X23" s="76" t="inlineStr">
        <is>
          <t>Nan</t>
        </is>
      </c>
      <c r="Y23" s="76" t="inlineStr">
        <is>
          <t>Nan</t>
        </is>
      </c>
      <c r="Z23" s="76" t="inlineStr">
        <is>
          <t>Nan</t>
        </is>
      </c>
      <c r="AA23" s="83" t="n">
        <v>5</v>
      </c>
      <c r="AB23" s="76" t="inlineStr">
        <is>
          <t>Nan</t>
        </is>
      </c>
      <c r="AC23" s="19" t="n">
        <v>50</v>
      </c>
      <c r="AD23" s="19" t="n">
        <v>30</v>
      </c>
      <c r="AE23" s="76" t="inlineStr">
        <is>
          <t>Nan</t>
        </is>
      </c>
      <c r="AF23" s="76" t="inlineStr">
        <is>
          <t>Nan</t>
        </is>
      </c>
      <c r="AG23" s="76" t="inlineStr">
        <is>
          <t>Nan</t>
        </is>
      </c>
      <c r="AH23" s="76" t="inlineStr">
        <is>
          <t>Nan</t>
        </is>
      </c>
      <c r="AI23" s="76" t="inlineStr">
        <is>
          <t>Nan</t>
        </is>
      </c>
      <c r="AJ23" s="76" t="inlineStr">
        <is>
          <t>Nan</t>
        </is>
      </c>
      <c r="AK23" s="76" t="inlineStr">
        <is>
          <t>Nan</t>
        </is>
      </c>
      <c r="AL23" s="76" t="inlineStr">
        <is>
          <t>Nan</t>
        </is>
      </c>
      <c r="AM23" s="62" t="n">
        <v>2</v>
      </c>
      <c r="AN23" s="62" t="n">
        <v>1</v>
      </c>
      <c r="AO23" s="62" t="n">
        <v>1</v>
      </c>
      <c r="AP23" s="62" t="n">
        <v>4</v>
      </c>
      <c r="AQ23" s="62" t="n">
        <v>1</v>
      </c>
      <c r="AR23" s="62" t="n">
        <v>1</v>
      </c>
      <c r="AS23" s="62" t="n">
        <v>1</v>
      </c>
    </row>
    <row r="24" ht="18.75" customHeight="1">
      <c r="A24" s="10" t="inlineStr">
        <is>
          <t>V21</t>
        </is>
      </c>
      <c r="B24" s="74" t="inlineStr">
        <is>
          <t>Nan</t>
        </is>
      </c>
      <c r="C24" s="74" t="inlineStr">
        <is>
          <t>Nan</t>
        </is>
      </c>
      <c r="D24" s="75" t="n">
        <v>19.39</v>
      </c>
      <c r="E24" s="13" t="n">
        <v>15000</v>
      </c>
      <c r="F24" s="13">
        <f>P24</f>
        <v/>
      </c>
      <c r="G24" s="15" t="n">
        <v>0.8</v>
      </c>
      <c r="H24" s="74" t="inlineStr">
        <is>
          <t>Nan</t>
        </is>
      </c>
      <c r="I24" s="15" t="n">
        <v>0.93</v>
      </c>
      <c r="J24" s="74" t="inlineStr">
        <is>
          <t>Nan</t>
        </is>
      </c>
      <c r="K24" s="74" t="inlineStr">
        <is>
          <t>Nan</t>
        </is>
      </c>
      <c r="L24" s="17" t="n">
        <v>10</v>
      </c>
      <c r="M24" s="79" t="n">
        <v>194.4</v>
      </c>
      <c r="N24" s="18" t="n">
        <v>3</v>
      </c>
      <c r="O24" s="18" t="n">
        <v>33</v>
      </c>
      <c r="P24" s="18" t="n">
        <v>14</v>
      </c>
      <c r="Q24" s="74" t="inlineStr">
        <is>
          <t>Nan</t>
        </is>
      </c>
      <c r="R24" s="18" t="n">
        <v>100</v>
      </c>
      <c r="S24" s="19" t="n">
        <v>2.15</v>
      </c>
      <c r="T24" s="74" t="inlineStr">
        <is>
          <t>Nan</t>
        </is>
      </c>
      <c r="U24" s="19" t="n">
        <v>1.5</v>
      </c>
      <c r="V24" s="74" t="inlineStr">
        <is>
          <t>Nan</t>
        </is>
      </c>
      <c r="W24" s="19" t="n">
        <v>18</v>
      </c>
      <c r="X24" s="76" t="inlineStr">
        <is>
          <t>Nan</t>
        </is>
      </c>
      <c r="Y24" s="19" t="n">
        <v>2.65</v>
      </c>
      <c r="Z24" s="76" t="inlineStr">
        <is>
          <t>Nan</t>
        </is>
      </c>
      <c r="AA24" s="83" t="n">
        <v>8.5</v>
      </c>
      <c r="AB24" s="76" t="inlineStr">
        <is>
          <t>Nan</t>
        </is>
      </c>
      <c r="AC24" s="76" t="inlineStr">
        <is>
          <t>Nan</t>
        </is>
      </c>
      <c r="AD24" s="19" t="n">
        <v>30</v>
      </c>
      <c r="AE24" s="19" t="n">
        <v>12.5</v>
      </c>
      <c r="AF24" s="74" t="inlineStr">
        <is>
          <t>Nan</t>
        </is>
      </c>
      <c r="AG24" s="76" t="inlineStr">
        <is>
          <t>Nan</t>
        </is>
      </c>
      <c r="AH24" s="74" t="inlineStr">
        <is>
          <t>Nan</t>
        </is>
      </c>
      <c r="AI24" s="76" t="inlineStr">
        <is>
          <t>Nan</t>
        </is>
      </c>
      <c r="AJ24" s="76" t="inlineStr">
        <is>
          <t>Nan</t>
        </is>
      </c>
      <c r="AK24" s="19" t="n">
        <v>3999</v>
      </c>
      <c r="AL24" s="19" t="n">
        <v>0.108</v>
      </c>
      <c r="AM24" s="62" t="n">
        <v>2</v>
      </c>
      <c r="AN24" s="62" t="n">
        <v>1</v>
      </c>
      <c r="AO24" s="62" t="n">
        <v>1</v>
      </c>
      <c r="AP24" s="62" t="n">
        <v>4</v>
      </c>
      <c r="AQ24" s="62" t="n">
        <v>1</v>
      </c>
      <c r="AR24" s="62" t="n">
        <v>1</v>
      </c>
      <c r="AS24" s="62" t="n">
        <v>2</v>
      </c>
    </row>
    <row r="25" ht="18.75" customHeight="1">
      <c r="A25" s="10" t="inlineStr">
        <is>
          <t>V25</t>
        </is>
      </c>
      <c r="B25" s="74" t="inlineStr">
        <is>
          <t>Nan</t>
        </is>
      </c>
      <c r="C25" s="74" t="inlineStr">
        <is>
          <t>Nan</t>
        </is>
      </c>
      <c r="D25" s="75" t="n">
        <v>21.55</v>
      </c>
      <c r="E25" s="13" t="n">
        <v>16000</v>
      </c>
      <c r="F25" s="13">
        <f>P25</f>
        <v/>
      </c>
      <c r="G25" s="15" t="n">
        <v>0.52</v>
      </c>
      <c r="H25" s="74" t="inlineStr">
        <is>
          <t>Nan</t>
        </is>
      </c>
      <c r="I25" s="15" t="n">
        <v>0.93</v>
      </c>
      <c r="J25" s="74" t="inlineStr">
        <is>
          <t>Nan</t>
        </is>
      </c>
      <c r="K25" s="74" t="inlineStr">
        <is>
          <t>Nan</t>
        </is>
      </c>
      <c r="L25" s="17" t="n">
        <v>12.5</v>
      </c>
      <c r="M25" s="79" t="n">
        <v>288</v>
      </c>
      <c r="N25" s="18" t="n">
        <v>4</v>
      </c>
      <c r="O25" s="18" t="n">
        <v>33</v>
      </c>
      <c r="P25" s="18" t="n">
        <v>15.5</v>
      </c>
      <c r="Q25" s="74" t="inlineStr">
        <is>
          <t>Nan</t>
        </is>
      </c>
      <c r="R25" s="18" t="n">
        <v>120</v>
      </c>
      <c r="S25" s="19" t="n">
        <v>2.45</v>
      </c>
      <c r="T25" s="74" t="inlineStr">
        <is>
          <t>Nan</t>
        </is>
      </c>
      <c r="U25" s="19" t="n">
        <v>2.2</v>
      </c>
      <c r="V25" s="74" t="inlineStr">
        <is>
          <t>Nan</t>
        </is>
      </c>
      <c r="W25" s="19" t="n">
        <v>20</v>
      </c>
      <c r="X25" s="81" t="inlineStr">
        <is>
          <t>Nan</t>
        </is>
      </c>
      <c r="Y25" s="19" t="n">
        <v>3.45</v>
      </c>
      <c r="Z25" s="76" t="inlineStr">
        <is>
          <t>Nan</t>
        </is>
      </c>
      <c r="AA25" s="83" t="n">
        <v>10.3</v>
      </c>
      <c r="AB25" s="76" t="inlineStr">
        <is>
          <t>Nan</t>
        </is>
      </c>
      <c r="AC25" s="76" t="inlineStr">
        <is>
          <t>Nan</t>
        </is>
      </c>
      <c r="AD25" s="19" t="n">
        <v>30</v>
      </c>
      <c r="AE25" s="19" t="n">
        <v>24</v>
      </c>
      <c r="AF25" s="74" t="inlineStr">
        <is>
          <t>Nan</t>
        </is>
      </c>
      <c r="AG25" s="76" t="inlineStr">
        <is>
          <t>Nan</t>
        </is>
      </c>
      <c r="AH25" s="74" t="inlineStr">
        <is>
          <t>Nan</t>
        </is>
      </c>
      <c r="AI25" s="76" t="inlineStr">
        <is>
          <t>Nan</t>
        </is>
      </c>
      <c r="AJ25" s="76" t="inlineStr">
        <is>
          <t>Nan</t>
        </is>
      </c>
      <c r="AK25" s="19" t="n">
        <v>4679</v>
      </c>
      <c r="AL25" s="19" t="n">
        <v>0.108</v>
      </c>
      <c r="AM25" s="62" t="n">
        <v>2</v>
      </c>
      <c r="AN25" s="62" t="n">
        <v>1</v>
      </c>
      <c r="AO25" s="62" t="n">
        <v>1</v>
      </c>
      <c r="AP25" s="62" t="n">
        <v>4</v>
      </c>
      <c r="AQ25" s="63" t="n">
        <v>1</v>
      </c>
      <c r="AR25" s="62" t="n">
        <v>1</v>
      </c>
      <c r="AS25" s="62" t="n">
        <v>2</v>
      </c>
    </row>
    <row r="26" ht="18.75" customHeight="1">
      <c r="A26" s="10" t="inlineStr">
        <is>
          <t>V32</t>
        </is>
      </c>
      <c r="B26" s="74" t="inlineStr">
        <is>
          <t>Nan</t>
        </is>
      </c>
      <c r="C26" s="74" t="inlineStr">
        <is>
          <t>Nan</t>
        </is>
      </c>
      <c r="D26" s="75" t="n">
        <v>21.55</v>
      </c>
      <c r="E26" s="13" t="n">
        <v>16000</v>
      </c>
      <c r="F26" s="13">
        <f>P26</f>
        <v/>
      </c>
      <c r="G26" s="78" t="n">
        <v>0.9486181819524878</v>
      </c>
      <c r="H26" s="74" t="inlineStr">
        <is>
          <t>Nan</t>
        </is>
      </c>
      <c r="I26" s="15" t="n">
        <v>1</v>
      </c>
      <c r="J26" s="74" t="inlineStr">
        <is>
          <t>Nan</t>
        </is>
      </c>
      <c r="K26" s="74" t="inlineStr">
        <is>
          <t>Nan</t>
        </is>
      </c>
      <c r="L26" s="17" t="n">
        <v>23.5</v>
      </c>
      <c r="M26" s="79" t="n">
        <v>324</v>
      </c>
      <c r="N26" s="18" t="n">
        <v>4.5</v>
      </c>
      <c r="O26" s="18" t="n">
        <v>33</v>
      </c>
      <c r="P26" s="18" t="n">
        <v>17</v>
      </c>
      <c r="Q26" s="74" t="inlineStr">
        <is>
          <t>Nan</t>
        </is>
      </c>
      <c r="R26" s="18" t="n">
        <v>150</v>
      </c>
      <c r="S26" s="19" t="n">
        <v>3.2</v>
      </c>
      <c r="T26" s="74" t="inlineStr">
        <is>
          <t>Nan</t>
        </is>
      </c>
      <c r="U26" s="19" t="n">
        <v>5</v>
      </c>
      <c r="V26" s="74" t="inlineStr">
        <is>
          <t>Nan</t>
        </is>
      </c>
      <c r="W26" s="19" t="n">
        <v>20</v>
      </c>
      <c r="X26" s="76" t="inlineStr">
        <is>
          <t>Nan</t>
        </is>
      </c>
      <c r="Y26" s="19" t="n">
        <v>6.45</v>
      </c>
      <c r="Z26" s="76" t="inlineStr">
        <is>
          <t>Nan</t>
        </is>
      </c>
      <c r="AA26" s="83" t="n">
        <v>18.5</v>
      </c>
      <c r="AB26" s="76" t="inlineStr">
        <is>
          <t>Nan</t>
        </is>
      </c>
      <c r="AC26" s="76" t="inlineStr">
        <is>
          <t>Nan</t>
        </is>
      </c>
      <c r="AD26" s="19" t="n">
        <v>30</v>
      </c>
      <c r="AE26" s="19" t="n">
        <v>25</v>
      </c>
      <c r="AF26" s="74" t="inlineStr">
        <is>
          <t>Nan</t>
        </is>
      </c>
      <c r="AG26" s="76" t="inlineStr">
        <is>
          <t>Nan</t>
        </is>
      </c>
      <c r="AH26" s="74" t="inlineStr">
        <is>
          <t>Nan</t>
        </is>
      </c>
      <c r="AI26" s="76" t="inlineStr">
        <is>
          <t>Nan</t>
        </is>
      </c>
      <c r="AJ26" s="76" t="inlineStr">
        <is>
          <t>Nan</t>
        </is>
      </c>
      <c r="AK26" s="26" t="n">
        <v>69999</v>
      </c>
      <c r="AL26" s="19" t="n">
        <v>0.108</v>
      </c>
      <c r="AM26" s="62" t="n">
        <v>2</v>
      </c>
      <c r="AN26" s="62" t="n">
        <v>2</v>
      </c>
      <c r="AO26" s="62" t="n">
        <v>1</v>
      </c>
      <c r="AP26" s="62" t="n">
        <v>4</v>
      </c>
      <c r="AQ26" s="62" t="n">
        <v>1</v>
      </c>
      <c r="AR26" s="62" t="n">
        <v>1</v>
      </c>
      <c r="AS26" s="62" t="n">
        <v>3</v>
      </c>
    </row>
    <row r="27" ht="18.75" customHeight="1">
      <c r="A27" s="10" t="inlineStr">
        <is>
          <t>V35</t>
        </is>
      </c>
      <c r="B27" s="74" t="inlineStr">
        <is>
          <t>Nan</t>
        </is>
      </c>
      <c r="C27" s="74" t="inlineStr">
        <is>
          <t>Nan</t>
        </is>
      </c>
      <c r="D27" s="75" t="n">
        <v>26.93</v>
      </c>
      <c r="E27" s="13" t="n">
        <v>16000</v>
      </c>
      <c r="F27" s="13">
        <f>P27</f>
        <v/>
      </c>
      <c r="G27" s="78" t="n">
        <v>1.367453499881811</v>
      </c>
      <c r="H27" s="74" t="inlineStr">
        <is>
          <t>Nan</t>
        </is>
      </c>
      <c r="I27" s="15" t="n">
        <v>1.88</v>
      </c>
      <c r="J27" s="74" t="inlineStr">
        <is>
          <t>Nan</t>
        </is>
      </c>
      <c r="K27" s="74" t="inlineStr">
        <is>
          <t>Nan</t>
        </is>
      </c>
      <c r="L27" s="17" t="n">
        <v>32</v>
      </c>
      <c r="M27" s="79" t="n">
        <v>252</v>
      </c>
      <c r="N27" s="18" t="n">
        <v>2.8</v>
      </c>
      <c r="O27" s="18" t="n">
        <v>33</v>
      </c>
      <c r="P27" s="74" t="inlineStr">
        <is>
          <t>Nan</t>
        </is>
      </c>
      <c r="Q27" s="76" t="inlineStr">
        <is>
          <t>Nan</t>
        </is>
      </c>
      <c r="R27" s="74" t="inlineStr">
        <is>
          <t>Nan</t>
        </is>
      </c>
      <c r="S27" s="19" t="n">
        <v>3.5</v>
      </c>
      <c r="T27" s="74" t="inlineStr">
        <is>
          <t>Nan</t>
        </is>
      </c>
      <c r="U27" s="19" t="n">
        <v>10</v>
      </c>
      <c r="V27" s="74" t="inlineStr">
        <is>
          <t>Nan</t>
        </is>
      </c>
      <c r="W27" s="19" t="n">
        <v>25</v>
      </c>
      <c r="X27" s="76" t="inlineStr">
        <is>
          <t>Nan</t>
        </is>
      </c>
      <c r="Y27" s="76" t="inlineStr">
        <is>
          <t>Nan</t>
        </is>
      </c>
      <c r="Z27" s="76" t="inlineStr">
        <is>
          <t>Nan</t>
        </is>
      </c>
      <c r="AA27" s="83" t="n">
        <v>22</v>
      </c>
      <c r="AB27" s="76" t="inlineStr">
        <is>
          <t>Nan</t>
        </is>
      </c>
      <c r="AC27" s="76" t="inlineStr">
        <is>
          <t>Nan</t>
        </is>
      </c>
      <c r="AD27" s="19" t="n">
        <v>30</v>
      </c>
      <c r="AE27" s="74" t="inlineStr">
        <is>
          <t>Nan</t>
        </is>
      </c>
      <c r="AF27" s="74" t="inlineStr">
        <is>
          <t>Nan</t>
        </is>
      </c>
      <c r="AG27" s="76" t="inlineStr">
        <is>
          <t>Nan</t>
        </is>
      </c>
      <c r="AH27" s="74" t="inlineStr">
        <is>
          <t>Nan</t>
        </is>
      </c>
      <c r="AI27" s="76" t="inlineStr">
        <is>
          <t>Nan</t>
        </is>
      </c>
      <c r="AJ27" s="76" t="inlineStr">
        <is>
          <t>Nan</t>
        </is>
      </c>
      <c r="AK27" s="19" t="n">
        <v>7999</v>
      </c>
      <c r="AL27" s="74" t="inlineStr">
        <is>
          <t>Nan</t>
        </is>
      </c>
      <c r="AM27" s="62" t="n">
        <v>2</v>
      </c>
      <c r="AN27" s="62" t="n">
        <v>2</v>
      </c>
      <c r="AO27" s="62" t="n">
        <v>1</v>
      </c>
      <c r="AP27" s="62" t="n">
        <v>4</v>
      </c>
      <c r="AQ27" s="62" t="n">
        <v>1</v>
      </c>
      <c r="AR27" s="62" t="n">
        <v>1</v>
      </c>
      <c r="AS27" s="62" t="n">
        <v>3</v>
      </c>
    </row>
    <row r="28" ht="18.75" customHeight="1">
      <c r="A28" s="10" t="inlineStr">
        <is>
          <t>V39</t>
        </is>
      </c>
      <c r="B28" s="74" t="inlineStr">
        <is>
          <t>Nan</t>
        </is>
      </c>
      <c r="C28" s="74" t="inlineStr">
        <is>
          <t>Nan</t>
        </is>
      </c>
      <c r="D28" s="75" t="n">
        <v>26.93</v>
      </c>
      <c r="E28" s="13" t="n">
        <v>16000</v>
      </c>
      <c r="F28" s="13">
        <f>P28</f>
        <v/>
      </c>
      <c r="G28" s="78" t="n">
        <v>0.9486181819524878</v>
      </c>
      <c r="H28" s="74" t="inlineStr">
        <is>
          <t>Nan</t>
        </is>
      </c>
      <c r="I28" s="87" t="n">
        <v>1</v>
      </c>
      <c r="J28" s="74" t="inlineStr">
        <is>
          <t>Nan</t>
        </is>
      </c>
      <c r="K28" s="74" t="inlineStr">
        <is>
          <t>Nan</t>
        </is>
      </c>
      <c r="L28" s="17" t="n">
        <v>24</v>
      </c>
      <c r="M28" s="79" t="n">
        <v>405</v>
      </c>
      <c r="N28" s="18" t="n">
        <v>4.5</v>
      </c>
      <c r="O28" s="18" t="n">
        <v>33</v>
      </c>
      <c r="P28" s="87" t="n">
        <v>17</v>
      </c>
      <c r="Q28" s="74" t="inlineStr">
        <is>
          <t>Nan</t>
        </is>
      </c>
      <c r="R28" s="74" t="inlineStr">
        <is>
          <t>Nan</t>
        </is>
      </c>
      <c r="S28" s="19" t="n">
        <v>3.9</v>
      </c>
      <c r="T28" s="74" t="inlineStr">
        <is>
          <t>Nan</t>
        </is>
      </c>
      <c r="U28" s="19" t="n">
        <v>5</v>
      </c>
      <c r="V28" s="74" t="inlineStr">
        <is>
          <t>Nan</t>
        </is>
      </c>
      <c r="W28" s="19" t="n">
        <v>25</v>
      </c>
      <c r="X28" s="76" t="inlineStr">
        <is>
          <t>Nan</t>
        </is>
      </c>
      <c r="Y28" s="76" t="inlineStr">
        <is>
          <t>Nan</t>
        </is>
      </c>
      <c r="Z28" s="76" t="inlineStr">
        <is>
          <t>Nan</t>
        </is>
      </c>
      <c r="AA28" s="83" t="n">
        <v>19</v>
      </c>
      <c r="AB28" s="76" t="inlineStr">
        <is>
          <t>Nan</t>
        </is>
      </c>
      <c r="AC28" s="76" t="inlineStr">
        <is>
          <t>Nan</t>
        </is>
      </c>
      <c r="AD28" s="19" t="n">
        <v>30</v>
      </c>
      <c r="AE28" s="74" t="inlineStr">
        <is>
          <t>Nan</t>
        </is>
      </c>
      <c r="AF28" s="74" t="inlineStr">
        <is>
          <t>Nan</t>
        </is>
      </c>
      <c r="AG28" s="76" t="inlineStr">
        <is>
          <t>Nan</t>
        </is>
      </c>
      <c r="AH28" s="74" t="inlineStr">
        <is>
          <t>Nan</t>
        </is>
      </c>
      <c r="AI28" s="76" t="inlineStr">
        <is>
          <t>Nan</t>
        </is>
      </c>
      <c r="AJ28" s="76" t="inlineStr">
        <is>
          <t>Nan</t>
        </is>
      </c>
      <c r="AK28" s="19" t="n">
        <v>8999</v>
      </c>
      <c r="AL28" s="74" t="inlineStr">
        <is>
          <t>Nan</t>
        </is>
      </c>
      <c r="AM28" s="62" t="n">
        <v>2</v>
      </c>
      <c r="AN28" s="62" t="n">
        <v>2</v>
      </c>
      <c r="AO28" s="62" t="n">
        <v>1</v>
      </c>
      <c r="AP28" s="62" t="n">
        <v>4</v>
      </c>
      <c r="AQ28" s="62" t="n">
        <v>1</v>
      </c>
      <c r="AR28" s="62" t="n">
        <v>1</v>
      </c>
      <c r="AS28" s="62" t="n">
        <v>3</v>
      </c>
    </row>
    <row r="29" ht="18.75" customHeight="1">
      <c r="A29" s="10" t="inlineStr">
        <is>
          <t>Volitation VT370</t>
        </is>
      </c>
      <c r="B29" s="74" t="inlineStr">
        <is>
          <t>Nan</t>
        </is>
      </c>
      <c r="C29" s="74" t="inlineStr">
        <is>
          <t>Nan</t>
        </is>
      </c>
      <c r="D29" s="75" t="n">
        <v>26.93</v>
      </c>
      <c r="E29" s="13" t="n">
        <v>17000</v>
      </c>
      <c r="F29" s="13">
        <f>P29</f>
        <v/>
      </c>
      <c r="G29" s="78" t="n">
        <v>2.037590008568727</v>
      </c>
      <c r="H29" s="74" t="inlineStr">
        <is>
          <t>Nan</t>
        </is>
      </c>
      <c r="I29" s="15" t="n">
        <v>2.02</v>
      </c>
      <c r="J29" s="74" t="inlineStr">
        <is>
          <t>Nan</t>
        </is>
      </c>
      <c r="K29" s="74" t="inlineStr">
        <is>
          <t>Nan</t>
        </is>
      </c>
      <c r="L29" s="17" t="n">
        <v>40</v>
      </c>
      <c r="M29" s="79" t="n">
        <v>1350</v>
      </c>
      <c r="N29" s="18" t="n">
        <v>15</v>
      </c>
      <c r="O29" s="18" t="n">
        <v>33</v>
      </c>
      <c r="P29" s="74" t="inlineStr">
        <is>
          <t>Nan</t>
        </is>
      </c>
      <c r="Q29" s="76" t="inlineStr">
        <is>
          <t>Nan</t>
        </is>
      </c>
      <c r="R29" s="74" t="inlineStr">
        <is>
          <t>Nan</t>
        </is>
      </c>
      <c r="S29" s="19" t="n">
        <v>6.5</v>
      </c>
      <c r="T29" s="74" t="inlineStr">
        <is>
          <t>Nan</t>
        </is>
      </c>
      <c r="U29" s="19" t="n">
        <v>18</v>
      </c>
      <c r="V29" s="74" t="inlineStr">
        <is>
          <t>Nan</t>
        </is>
      </c>
      <c r="W29" s="19" t="n">
        <v>25</v>
      </c>
      <c r="X29" s="76" t="inlineStr">
        <is>
          <t>Nan</t>
        </is>
      </c>
      <c r="Y29" s="76" t="inlineStr">
        <is>
          <t>Nan</t>
        </is>
      </c>
      <c r="Z29" s="76" t="inlineStr">
        <is>
          <t>Nan</t>
        </is>
      </c>
      <c r="AA29" s="83" t="n">
        <v>22</v>
      </c>
      <c r="AB29" s="76" t="inlineStr">
        <is>
          <t>Nan</t>
        </is>
      </c>
      <c r="AC29" s="76" t="inlineStr">
        <is>
          <t>Nan</t>
        </is>
      </c>
      <c r="AD29" s="74" t="inlineStr">
        <is>
          <t>Nan</t>
        </is>
      </c>
      <c r="AE29" s="74" t="inlineStr">
        <is>
          <t>Nan</t>
        </is>
      </c>
      <c r="AF29" s="74" t="inlineStr">
        <is>
          <t>Nan</t>
        </is>
      </c>
      <c r="AG29" s="19" t="n">
        <v>13</v>
      </c>
      <c r="AH29" s="19" t="n">
        <v>0.96</v>
      </c>
      <c r="AI29" s="76" t="inlineStr">
        <is>
          <t>Nan</t>
        </is>
      </c>
      <c r="AJ29" s="76" t="inlineStr">
        <is>
          <t>Nan</t>
        </is>
      </c>
      <c r="AK29" s="19" t="n">
        <v>8999</v>
      </c>
      <c r="AL29" s="74" t="inlineStr">
        <is>
          <t>Nan</t>
        </is>
      </c>
      <c r="AM29" s="62" t="n">
        <v>2</v>
      </c>
      <c r="AN29" s="62" t="n">
        <v>2</v>
      </c>
      <c r="AO29" s="62" t="n">
        <v>1</v>
      </c>
      <c r="AP29" s="62" t="n">
        <v>4</v>
      </c>
      <c r="AQ29" s="62" t="n">
        <v>1</v>
      </c>
      <c r="AR29" s="62" t="n">
        <v>1</v>
      </c>
      <c r="AS29" s="62" t="n">
        <v>3</v>
      </c>
    </row>
    <row r="30" ht="18.75" customHeight="1">
      <c r="A30" s="10" t="inlineStr">
        <is>
          <t>Skyeye 2600</t>
        </is>
      </c>
      <c r="B30" s="76" t="inlineStr">
        <is>
          <t>Nan</t>
        </is>
      </c>
      <c r="C30" s="74" t="inlineStr">
        <is>
          <t>Nan</t>
        </is>
      </c>
      <c r="D30" s="75" t="n">
        <v>35.55</v>
      </c>
      <c r="E30" s="76" t="inlineStr">
        <is>
          <t>Nan</t>
        </is>
      </c>
      <c r="F30" s="13">
        <f>P30</f>
        <v/>
      </c>
      <c r="G30" s="15" t="n">
        <v>0.88</v>
      </c>
      <c r="H30" s="76" t="inlineStr">
        <is>
          <t>Nan</t>
        </is>
      </c>
      <c r="I30" s="15" t="n">
        <v>2.05</v>
      </c>
      <c r="J30" s="76" t="inlineStr">
        <is>
          <t>Nan</t>
        </is>
      </c>
      <c r="K30" s="76" t="inlineStr">
        <is>
          <t>Nan</t>
        </is>
      </c>
      <c r="L30" s="17" t="n">
        <v>15</v>
      </c>
      <c r="M30" s="85" t="n">
        <v>237.6</v>
      </c>
      <c r="N30" s="18" t="n">
        <v>2</v>
      </c>
      <c r="O30" s="82" t="n">
        <v>31.20599498406514</v>
      </c>
      <c r="P30" s="18" t="n">
        <v>10</v>
      </c>
      <c r="Q30" s="76" t="inlineStr">
        <is>
          <t>Nan</t>
        </is>
      </c>
      <c r="R30" s="76" t="inlineStr">
        <is>
          <t>Nan</t>
        </is>
      </c>
      <c r="S30" s="19" t="n">
        <v>2.6</v>
      </c>
      <c r="T30" s="76" t="inlineStr">
        <is>
          <t>Nan</t>
        </is>
      </c>
      <c r="U30" s="19" t="n">
        <v>4</v>
      </c>
      <c r="V30" s="74" t="inlineStr">
        <is>
          <t>Nan</t>
        </is>
      </c>
      <c r="W30" s="19" t="n">
        <v>33</v>
      </c>
      <c r="X30" s="76" t="inlineStr">
        <is>
          <t>Nan</t>
        </is>
      </c>
      <c r="Y30" s="19" t="n">
        <v>6.5</v>
      </c>
      <c r="Z30" s="76" t="inlineStr">
        <is>
          <t>Nan</t>
        </is>
      </c>
      <c r="AA30" s="83" t="n">
        <v>11</v>
      </c>
      <c r="AB30" s="76" t="inlineStr">
        <is>
          <t>Nan</t>
        </is>
      </c>
      <c r="AC30" s="76" t="inlineStr">
        <is>
          <t>Nan</t>
        </is>
      </c>
      <c r="AD30" s="76" t="inlineStr">
        <is>
          <t>Nan</t>
        </is>
      </c>
      <c r="AE30" s="76" t="inlineStr">
        <is>
          <t>Nan</t>
        </is>
      </c>
      <c r="AF30" s="76" t="inlineStr">
        <is>
          <t>Nan</t>
        </is>
      </c>
      <c r="AG30" s="76" t="inlineStr">
        <is>
          <t>Nan</t>
        </is>
      </c>
      <c r="AH30" s="76" t="inlineStr">
        <is>
          <t>Nan</t>
        </is>
      </c>
      <c r="AI30" s="76" t="inlineStr">
        <is>
          <t>Nan</t>
        </is>
      </c>
      <c r="AJ30" s="76" t="inlineStr">
        <is>
          <t>Nan</t>
        </is>
      </c>
      <c r="AK30" s="19" t="n">
        <v>2299</v>
      </c>
      <c r="AL30" s="76" t="inlineStr">
        <is>
          <t>Nan</t>
        </is>
      </c>
      <c r="AM30" s="62" t="n">
        <v>2</v>
      </c>
      <c r="AN30" s="62" t="n">
        <v>2</v>
      </c>
      <c r="AO30" s="62" t="n">
        <v>1</v>
      </c>
      <c r="AP30" s="62" t="n">
        <v>4</v>
      </c>
      <c r="AQ30" s="62" t="n">
        <v>1</v>
      </c>
      <c r="AR30" s="62" t="n">
        <v>1</v>
      </c>
      <c r="AS30" s="62" t="n">
        <v>3</v>
      </c>
    </row>
    <row r="31" ht="18.75" customHeight="1">
      <c r="A31" s="10" t="inlineStr">
        <is>
          <t>Skyeye 2930 VTOL</t>
        </is>
      </c>
      <c r="B31" s="74" t="inlineStr">
        <is>
          <t>Nan</t>
        </is>
      </c>
      <c r="C31" s="74" t="inlineStr">
        <is>
          <t>Nan</t>
        </is>
      </c>
      <c r="D31" s="75" t="n">
        <v>25.85</v>
      </c>
      <c r="E31" s="76" t="inlineStr">
        <is>
          <t>Nan</t>
        </is>
      </c>
      <c r="F31" s="13">
        <f>P31</f>
        <v/>
      </c>
      <c r="G31" s="15" t="n">
        <v>1</v>
      </c>
      <c r="H31" s="76" t="inlineStr">
        <is>
          <t>Nan</t>
        </is>
      </c>
      <c r="I31" s="15" t="n">
        <v>2.03</v>
      </c>
      <c r="J31" s="76" t="inlineStr">
        <is>
          <t>Nan</t>
        </is>
      </c>
      <c r="K31" s="76" t="inlineStr">
        <is>
          <t>Nan</t>
        </is>
      </c>
      <c r="L31" s="17" t="n">
        <v>28</v>
      </c>
      <c r="M31" s="85" t="n">
        <v>259.2</v>
      </c>
      <c r="N31" s="18" t="n">
        <v>3</v>
      </c>
      <c r="O31" s="18" t="n">
        <v>30</v>
      </c>
      <c r="P31" s="18" t="n">
        <v>18</v>
      </c>
      <c r="Q31" s="76" t="inlineStr">
        <is>
          <t>Nan</t>
        </is>
      </c>
      <c r="R31" s="76" t="inlineStr">
        <is>
          <t>Nan</t>
        </is>
      </c>
      <c r="S31" s="19" t="n">
        <v>2.93</v>
      </c>
      <c r="T31" s="76" t="inlineStr">
        <is>
          <t>Nan</t>
        </is>
      </c>
      <c r="U31" s="19" t="n">
        <v>6</v>
      </c>
      <c r="V31" s="74" t="inlineStr">
        <is>
          <t>Nan</t>
        </is>
      </c>
      <c r="W31" s="19" t="n">
        <v>24</v>
      </c>
      <c r="X31" s="76" t="inlineStr">
        <is>
          <t>Nan</t>
        </is>
      </c>
      <c r="Y31" s="19" t="n">
        <v>7.1</v>
      </c>
      <c r="Z31" s="76" t="inlineStr">
        <is>
          <t>Nan</t>
        </is>
      </c>
      <c r="AA31" s="83" t="n">
        <v>22</v>
      </c>
      <c r="AB31" s="76" t="inlineStr">
        <is>
          <t>Nan</t>
        </is>
      </c>
      <c r="AC31" s="76" t="inlineStr">
        <is>
          <t>Nan</t>
        </is>
      </c>
      <c r="AD31" s="76" t="inlineStr">
        <is>
          <t>Nan</t>
        </is>
      </c>
      <c r="AE31" s="76" t="inlineStr">
        <is>
          <t>Nan</t>
        </is>
      </c>
      <c r="AF31" s="76" t="inlineStr">
        <is>
          <t>Nan</t>
        </is>
      </c>
      <c r="AG31" s="76" t="inlineStr">
        <is>
          <t>Nan</t>
        </is>
      </c>
      <c r="AH31" s="76" t="inlineStr">
        <is>
          <t>Nan</t>
        </is>
      </c>
      <c r="AI31" s="76" t="inlineStr">
        <is>
          <t>Nan</t>
        </is>
      </c>
      <c r="AJ31" s="76" t="inlineStr">
        <is>
          <t>Nan</t>
        </is>
      </c>
      <c r="AK31" s="19" t="n">
        <v>6799</v>
      </c>
      <c r="AL31" s="76" t="inlineStr">
        <is>
          <t>Nan</t>
        </is>
      </c>
      <c r="AM31" s="62" t="n">
        <v>2</v>
      </c>
      <c r="AN31" s="62" t="n">
        <v>2</v>
      </c>
      <c r="AO31" s="62" t="n">
        <v>1</v>
      </c>
      <c r="AP31" s="62" t="n">
        <v>4</v>
      </c>
      <c r="AQ31" s="62" t="n">
        <v>1</v>
      </c>
      <c r="AR31" s="62" t="n">
        <v>1</v>
      </c>
      <c r="AS31" s="62" t="n">
        <v>3</v>
      </c>
    </row>
    <row r="32" ht="18.75" customHeight="1">
      <c r="A32" s="10" t="inlineStr">
        <is>
          <t>Skyeye 3600</t>
        </is>
      </c>
      <c r="B32" s="13" t="n">
        <v>50</v>
      </c>
      <c r="C32" s="74" t="inlineStr">
        <is>
          <t>Nan</t>
        </is>
      </c>
      <c r="D32" s="76" t="inlineStr">
        <is>
          <t>Nan</t>
        </is>
      </c>
      <c r="E32" s="76" t="inlineStr">
        <is>
          <t>Nan</t>
        </is>
      </c>
      <c r="F32" s="13">
        <f>P32</f>
        <v/>
      </c>
      <c r="G32" s="15" t="n">
        <v>1.33</v>
      </c>
      <c r="H32" s="76" t="inlineStr">
        <is>
          <t>Nan</t>
        </is>
      </c>
      <c r="I32" s="15" t="n">
        <v>2.488</v>
      </c>
      <c r="J32" s="76" t="inlineStr">
        <is>
          <t>Nan</t>
        </is>
      </c>
      <c r="K32" s="76" t="inlineStr">
        <is>
          <t>Nan</t>
        </is>
      </c>
      <c r="L32" s="17" t="n">
        <v>28</v>
      </c>
      <c r="M32" s="76" t="inlineStr">
        <is>
          <t>Nan</t>
        </is>
      </c>
      <c r="N32" s="18" t="n">
        <v>4.5</v>
      </c>
      <c r="O32" s="76" t="inlineStr">
        <is>
          <t>Nan</t>
        </is>
      </c>
      <c r="P32" s="18" t="n">
        <v>12.5</v>
      </c>
      <c r="Q32" s="76" t="inlineStr">
        <is>
          <t>Nan</t>
        </is>
      </c>
      <c r="R32" s="76" t="inlineStr">
        <is>
          <t>Nan</t>
        </is>
      </c>
      <c r="S32" s="19" t="n">
        <v>3.6</v>
      </c>
      <c r="T32" s="76" t="inlineStr">
        <is>
          <t>Nan</t>
        </is>
      </c>
      <c r="U32" s="19" t="n">
        <v>10</v>
      </c>
      <c r="V32" s="74" t="inlineStr">
        <is>
          <t>Nan</t>
        </is>
      </c>
      <c r="W32" s="76" t="inlineStr">
        <is>
          <t>Nan</t>
        </is>
      </c>
      <c r="X32" s="76" t="inlineStr">
        <is>
          <t>Nan</t>
        </is>
      </c>
      <c r="Y32" s="19" t="n">
        <v>11.5</v>
      </c>
      <c r="Z32" s="76" t="inlineStr">
        <is>
          <t>Nan</t>
        </is>
      </c>
      <c r="AA32" s="83" t="n">
        <v>18</v>
      </c>
      <c r="AB32" s="76" t="inlineStr">
        <is>
          <t>Nan</t>
        </is>
      </c>
      <c r="AC32" s="76" t="inlineStr">
        <is>
          <t>Nan</t>
        </is>
      </c>
      <c r="AD32" s="76" t="inlineStr">
        <is>
          <t>Nan</t>
        </is>
      </c>
      <c r="AE32" s="76" t="inlineStr">
        <is>
          <t>Nan</t>
        </is>
      </c>
      <c r="AF32" s="76" t="inlineStr">
        <is>
          <t>Nan</t>
        </is>
      </c>
      <c r="AG32" s="19" t="n">
        <v>11.5</v>
      </c>
      <c r="AH32" s="76" t="inlineStr">
        <is>
          <t>Nan</t>
        </is>
      </c>
      <c r="AI32" s="76" t="inlineStr">
        <is>
          <t>Nan</t>
        </is>
      </c>
      <c r="AJ32" s="76" t="inlineStr">
        <is>
          <t>Nan</t>
        </is>
      </c>
      <c r="AK32" s="19" t="n">
        <v>4999</v>
      </c>
      <c r="AL32" s="76" t="inlineStr">
        <is>
          <t>Nan</t>
        </is>
      </c>
      <c r="AM32" s="62" t="n">
        <v>3</v>
      </c>
      <c r="AN32" s="62" t="n">
        <v>2</v>
      </c>
      <c r="AO32" s="62" t="n">
        <v>5</v>
      </c>
      <c r="AP32" s="62" t="n">
        <v>0</v>
      </c>
      <c r="AQ32" s="62" t="n">
        <v>1</v>
      </c>
      <c r="AR32" s="62" t="n">
        <v>1</v>
      </c>
      <c r="AS32" s="62" t="n">
        <v>3</v>
      </c>
    </row>
    <row r="33" ht="18.75" customHeight="1">
      <c r="A33" s="10" t="inlineStr">
        <is>
          <t>Skyeye 3600 VTOL</t>
        </is>
      </c>
      <c r="B33" s="74" t="inlineStr">
        <is>
          <t>Nan</t>
        </is>
      </c>
      <c r="C33" s="74" t="inlineStr">
        <is>
          <t>Nan</t>
        </is>
      </c>
      <c r="D33" s="75" t="n">
        <v>32.32</v>
      </c>
      <c r="E33" s="76" t="inlineStr">
        <is>
          <t>Nan</t>
        </is>
      </c>
      <c r="F33" s="13">
        <f>P33</f>
        <v/>
      </c>
      <c r="G33" s="15" t="n">
        <v>1.32</v>
      </c>
      <c r="H33" s="76" t="inlineStr">
        <is>
          <t>Nan</t>
        </is>
      </c>
      <c r="I33" s="15" t="n">
        <v>2.42</v>
      </c>
      <c r="J33" s="76" t="inlineStr">
        <is>
          <t>Nan</t>
        </is>
      </c>
      <c r="K33" s="76" t="inlineStr">
        <is>
          <t>Nan</t>
        </is>
      </c>
      <c r="L33" s="17" t="n">
        <v>40</v>
      </c>
      <c r="M33" s="89" t="n">
        <v>300</v>
      </c>
      <c r="N33" s="89" t="n">
        <v>6</v>
      </c>
      <c r="O33" s="18" t="n">
        <v>33</v>
      </c>
      <c r="P33" s="18" t="n">
        <v>24</v>
      </c>
      <c r="Q33" s="76" t="inlineStr">
        <is>
          <t>Nan</t>
        </is>
      </c>
      <c r="R33" s="76" t="inlineStr">
        <is>
          <t>Nan</t>
        </is>
      </c>
      <c r="S33" s="19" t="n">
        <v>3.6</v>
      </c>
      <c r="T33" s="76" t="inlineStr">
        <is>
          <t>Nan</t>
        </is>
      </c>
      <c r="U33" s="19" t="n">
        <v>10</v>
      </c>
      <c r="V33" s="74" t="inlineStr">
        <is>
          <t>Nan</t>
        </is>
      </c>
      <c r="W33" s="94" t="n">
        <v>30</v>
      </c>
      <c r="X33" s="76" t="inlineStr">
        <is>
          <t>Nan</t>
        </is>
      </c>
      <c r="Y33" s="19" t="n">
        <v>11</v>
      </c>
      <c r="Z33" s="76" t="inlineStr">
        <is>
          <t>Nan</t>
        </is>
      </c>
      <c r="AA33" s="83" t="n">
        <v>30</v>
      </c>
      <c r="AB33" s="76" t="inlineStr">
        <is>
          <t>Nan</t>
        </is>
      </c>
      <c r="AC33" s="76" t="inlineStr">
        <is>
          <t>Nan</t>
        </is>
      </c>
      <c r="AD33" s="76" t="inlineStr">
        <is>
          <t>Nan</t>
        </is>
      </c>
      <c r="AE33" s="76" t="inlineStr">
        <is>
          <t>Nan</t>
        </is>
      </c>
      <c r="AF33" s="76" t="inlineStr">
        <is>
          <t>Nan</t>
        </is>
      </c>
      <c r="AG33" s="19" t="n">
        <v>11.5</v>
      </c>
      <c r="AH33" s="76" t="inlineStr">
        <is>
          <t>Nan</t>
        </is>
      </c>
      <c r="AI33" s="76" t="inlineStr">
        <is>
          <t>Nan</t>
        </is>
      </c>
      <c r="AJ33" s="76" t="inlineStr">
        <is>
          <t>Nan</t>
        </is>
      </c>
      <c r="AK33" s="19" t="n">
        <v>6999</v>
      </c>
      <c r="AL33" s="76" t="inlineStr">
        <is>
          <t>Nan</t>
        </is>
      </c>
      <c r="AM33" s="62" t="n">
        <v>2</v>
      </c>
      <c r="AN33" s="62" t="n">
        <v>2</v>
      </c>
      <c r="AO33" s="62" t="n">
        <v>1</v>
      </c>
      <c r="AP33" s="62" t="n">
        <v>4</v>
      </c>
      <c r="AQ33" s="62" t="n">
        <v>1</v>
      </c>
      <c r="AR33" s="62" t="n">
        <v>1</v>
      </c>
      <c r="AS33" s="62" t="n">
        <v>3</v>
      </c>
    </row>
    <row r="34" ht="18.75" customHeight="1">
      <c r="A34" s="10" t="inlineStr">
        <is>
          <t>Skyeye 5000</t>
        </is>
      </c>
      <c r="B34" s="13" t="n">
        <v>60</v>
      </c>
      <c r="C34" s="74" t="inlineStr">
        <is>
          <t>Nan</t>
        </is>
      </c>
      <c r="D34" s="75" t="n">
        <v>35.55</v>
      </c>
      <c r="E34" s="76" t="inlineStr">
        <is>
          <t>Nan</t>
        </is>
      </c>
      <c r="F34" s="13">
        <f>P34</f>
        <v/>
      </c>
      <c r="G34" s="15" t="n">
        <v>2.615</v>
      </c>
      <c r="H34" s="76" t="inlineStr">
        <is>
          <t>Nan</t>
        </is>
      </c>
      <c r="I34" s="15" t="n">
        <v>3.5</v>
      </c>
      <c r="J34" s="76" t="inlineStr">
        <is>
          <t>Nan</t>
        </is>
      </c>
      <c r="K34" s="15" t="n">
        <v>0.375</v>
      </c>
      <c r="L34" s="17" t="n">
        <v>90</v>
      </c>
      <c r="M34" s="85" t="n">
        <v>950.4</v>
      </c>
      <c r="N34" s="18" t="n">
        <v>8</v>
      </c>
      <c r="O34" s="18" t="n">
        <v>42</v>
      </c>
      <c r="P34" s="18" t="n">
        <v>15</v>
      </c>
      <c r="Q34" s="76" t="inlineStr">
        <is>
          <t>Nan</t>
        </is>
      </c>
      <c r="R34" s="76" t="inlineStr">
        <is>
          <t>Nan</t>
        </is>
      </c>
      <c r="S34" s="19" t="n">
        <v>5</v>
      </c>
      <c r="T34" s="76" t="inlineStr">
        <is>
          <t>Nan</t>
        </is>
      </c>
      <c r="U34" s="19" t="n">
        <v>20</v>
      </c>
      <c r="V34" s="74" t="inlineStr">
        <is>
          <t>Nan</t>
        </is>
      </c>
      <c r="W34" s="19" t="n">
        <v>33</v>
      </c>
      <c r="X34" s="76" t="inlineStr">
        <is>
          <t>Nan</t>
        </is>
      </c>
      <c r="Y34" s="19" t="n">
        <v>32</v>
      </c>
      <c r="Z34" s="76" t="inlineStr">
        <is>
          <t>Nan</t>
        </is>
      </c>
      <c r="AA34" s="83" t="n">
        <v>70</v>
      </c>
      <c r="AB34" s="76" t="inlineStr">
        <is>
          <t>Nan</t>
        </is>
      </c>
      <c r="AC34" s="76" t="inlineStr">
        <is>
          <t>Nan</t>
        </is>
      </c>
      <c r="AD34" s="76" t="inlineStr">
        <is>
          <t>Nan</t>
        </is>
      </c>
      <c r="AE34" s="76" t="inlineStr">
        <is>
          <t>Nan</t>
        </is>
      </c>
      <c r="AF34" s="76" t="inlineStr">
        <is>
          <t>Nan</t>
        </is>
      </c>
      <c r="AG34" s="19" t="n">
        <v>28</v>
      </c>
      <c r="AH34" s="19" t="n">
        <v>1.2</v>
      </c>
      <c r="AI34" s="76" t="inlineStr">
        <is>
          <t>Nan</t>
        </is>
      </c>
      <c r="AJ34" s="76" t="inlineStr">
        <is>
          <t>Nan</t>
        </is>
      </c>
      <c r="AK34" s="19" t="n">
        <v>9999</v>
      </c>
      <c r="AL34" s="76" t="inlineStr">
        <is>
          <t>Nan</t>
        </is>
      </c>
      <c r="AM34" s="62" t="n">
        <v>3</v>
      </c>
      <c r="AN34" s="62" t="n">
        <v>2</v>
      </c>
      <c r="AO34" s="62" t="n">
        <v>5</v>
      </c>
      <c r="AP34" s="62" t="n">
        <v>0</v>
      </c>
      <c r="AQ34" s="62" t="n">
        <v>1</v>
      </c>
      <c r="AR34" s="62" t="n">
        <v>1</v>
      </c>
      <c r="AS34" s="62" t="n">
        <v>3</v>
      </c>
    </row>
    <row r="35" ht="18.75" customHeight="1">
      <c r="A35" s="10" t="inlineStr">
        <is>
          <t>Skyeye 5000 VTOL</t>
        </is>
      </c>
      <c r="B35" s="74" t="inlineStr">
        <is>
          <t>Nan</t>
        </is>
      </c>
      <c r="C35" s="74" t="inlineStr">
        <is>
          <t>Nan</t>
        </is>
      </c>
      <c r="D35" s="75" t="n">
        <v>30.16</v>
      </c>
      <c r="E35" s="76" t="inlineStr">
        <is>
          <t>Nan</t>
        </is>
      </c>
      <c r="F35" s="13">
        <f>P35</f>
        <v/>
      </c>
      <c r="G35" s="15" t="n">
        <v>2.615</v>
      </c>
      <c r="H35" s="76" t="inlineStr">
        <is>
          <t>Nan</t>
        </is>
      </c>
      <c r="I35" s="15" t="n">
        <v>3.5</v>
      </c>
      <c r="J35" s="76" t="inlineStr">
        <is>
          <t>Nan</t>
        </is>
      </c>
      <c r="K35" s="15" t="n">
        <v>0.375</v>
      </c>
      <c r="L35" s="17" t="n">
        <v>100</v>
      </c>
      <c r="M35" s="18" t="n">
        <v>800</v>
      </c>
      <c r="N35" s="18" t="n">
        <v>8</v>
      </c>
      <c r="O35" s="18" t="n">
        <v>42</v>
      </c>
      <c r="P35" s="76" t="inlineStr">
        <is>
          <t>Nan</t>
        </is>
      </c>
      <c r="Q35" s="76" t="inlineStr">
        <is>
          <t>Nan</t>
        </is>
      </c>
      <c r="R35" s="76" t="inlineStr">
        <is>
          <t>Nan</t>
        </is>
      </c>
      <c r="S35" s="19" t="n">
        <v>5</v>
      </c>
      <c r="T35" s="76" t="inlineStr">
        <is>
          <t>Nan</t>
        </is>
      </c>
      <c r="U35" s="19" t="n">
        <v>25</v>
      </c>
      <c r="V35" s="74" t="inlineStr">
        <is>
          <t>Nan</t>
        </is>
      </c>
      <c r="W35" s="19" t="n">
        <v>28</v>
      </c>
      <c r="X35" s="74" t="inlineStr">
        <is>
          <t>Nan</t>
        </is>
      </c>
      <c r="Y35" s="76" t="inlineStr">
        <is>
          <t>Nan</t>
        </is>
      </c>
      <c r="Z35" s="76" t="inlineStr">
        <is>
          <t>Nan</t>
        </is>
      </c>
      <c r="AA35" s="83" t="n">
        <v>75</v>
      </c>
      <c r="AB35" s="76" t="inlineStr">
        <is>
          <t>Nan</t>
        </is>
      </c>
      <c r="AC35" s="76" t="inlineStr">
        <is>
          <t>Nan</t>
        </is>
      </c>
      <c r="AD35" s="76" t="inlineStr">
        <is>
          <t>Nan</t>
        </is>
      </c>
      <c r="AE35" s="76" t="inlineStr">
        <is>
          <t>Nan</t>
        </is>
      </c>
      <c r="AF35" s="76" t="inlineStr">
        <is>
          <t>Nan</t>
        </is>
      </c>
      <c r="AG35" s="19" t="n">
        <v>28</v>
      </c>
      <c r="AH35" s="76" t="inlineStr">
        <is>
          <t>Nan</t>
        </is>
      </c>
      <c r="AI35" s="76" t="inlineStr">
        <is>
          <t>Nan</t>
        </is>
      </c>
      <c r="AJ35" s="76" t="inlineStr">
        <is>
          <t>Nan</t>
        </is>
      </c>
      <c r="AK35" s="19" t="n">
        <v>13900</v>
      </c>
      <c r="AL35" s="76" t="inlineStr">
        <is>
          <t>Nan</t>
        </is>
      </c>
      <c r="AM35" s="62" t="n">
        <v>2</v>
      </c>
      <c r="AN35" s="62" t="n">
        <v>2</v>
      </c>
      <c r="AO35" s="62" t="n">
        <v>1</v>
      </c>
      <c r="AP35" s="62" t="n">
        <v>4</v>
      </c>
      <c r="AQ35" s="62" t="n">
        <v>1</v>
      </c>
      <c r="AR35" s="62" t="n">
        <v>1</v>
      </c>
      <c r="AS35" s="62" t="n">
        <v>3</v>
      </c>
    </row>
    <row r="36" ht="18.75" customHeight="1">
      <c r="A36" s="10" t="inlineStr">
        <is>
          <t>Skyeye 5000 VTOL octo</t>
        </is>
      </c>
      <c r="B36" s="74" t="inlineStr">
        <is>
          <t>Nan</t>
        </is>
      </c>
      <c r="C36" s="74" t="inlineStr">
        <is>
          <t>Nan</t>
        </is>
      </c>
      <c r="D36" s="75" t="n">
        <v>37.7</v>
      </c>
      <c r="E36" s="76" t="inlineStr">
        <is>
          <t>Nan</t>
        </is>
      </c>
      <c r="F36" s="82" t="n">
        <v>24</v>
      </c>
      <c r="G36" s="15" t="n">
        <v>2.615</v>
      </c>
      <c r="H36" s="76" t="inlineStr">
        <is>
          <t>Nan</t>
        </is>
      </c>
      <c r="I36" s="15" t="n">
        <v>3.5</v>
      </c>
      <c r="J36" s="76" t="inlineStr">
        <is>
          <t>Nan</t>
        </is>
      </c>
      <c r="K36" s="15" t="n">
        <v>0.375</v>
      </c>
      <c r="L36" s="17" t="n">
        <v>100</v>
      </c>
      <c r="M36" s="76" t="inlineStr">
        <is>
          <t>Nan</t>
        </is>
      </c>
      <c r="N36" s="76" t="inlineStr">
        <is>
          <t>Nan</t>
        </is>
      </c>
      <c r="O36" s="18" t="n">
        <v>38</v>
      </c>
      <c r="P36" s="18" t="n">
        <v>24</v>
      </c>
      <c r="Q36" s="76" t="inlineStr">
        <is>
          <t>Nan</t>
        </is>
      </c>
      <c r="R36" s="76" t="inlineStr">
        <is>
          <t>Nan</t>
        </is>
      </c>
      <c r="S36" s="19" t="n">
        <v>5</v>
      </c>
      <c r="T36" s="76" t="inlineStr">
        <is>
          <t>Nan</t>
        </is>
      </c>
      <c r="U36" s="19" t="n">
        <v>15</v>
      </c>
      <c r="V36" s="74" t="inlineStr">
        <is>
          <t>Nan</t>
        </is>
      </c>
      <c r="W36" s="19" t="n">
        <v>35</v>
      </c>
      <c r="X36" s="74" t="inlineStr">
        <is>
          <t>Nan</t>
        </is>
      </c>
      <c r="Y36" s="19" t="n">
        <v>35</v>
      </c>
      <c r="Z36" s="76" t="inlineStr">
        <is>
          <t>Nan</t>
        </is>
      </c>
      <c r="AA36" s="83" t="n">
        <v>85</v>
      </c>
      <c r="AB36" s="76" t="inlineStr">
        <is>
          <t>Nan</t>
        </is>
      </c>
      <c r="AC36" s="76" t="inlineStr">
        <is>
          <t>Nan</t>
        </is>
      </c>
      <c r="AD36" s="76" t="inlineStr">
        <is>
          <t>Nan</t>
        </is>
      </c>
      <c r="AE36" s="76" t="inlineStr">
        <is>
          <t>Nan</t>
        </is>
      </c>
      <c r="AF36" s="76" t="inlineStr">
        <is>
          <t>Nan</t>
        </is>
      </c>
      <c r="AG36" s="19" t="n">
        <v>28</v>
      </c>
      <c r="AH36" s="76" t="inlineStr">
        <is>
          <t>Nan</t>
        </is>
      </c>
      <c r="AI36" s="76" t="inlineStr">
        <is>
          <t>Nan</t>
        </is>
      </c>
      <c r="AJ36" s="76" t="inlineStr">
        <is>
          <t>Nan</t>
        </is>
      </c>
      <c r="AK36" s="19" t="n">
        <v>15999</v>
      </c>
      <c r="AL36" s="76" t="inlineStr">
        <is>
          <t>Nan</t>
        </is>
      </c>
      <c r="AM36" s="62" t="n">
        <v>2</v>
      </c>
      <c r="AN36" s="62" t="n">
        <v>2</v>
      </c>
      <c r="AO36" s="62" t="n">
        <v>1</v>
      </c>
      <c r="AP36" s="62" t="n">
        <v>8</v>
      </c>
      <c r="AQ36" s="62" t="n">
        <v>1</v>
      </c>
      <c r="AR36" s="62" t="n">
        <v>1</v>
      </c>
      <c r="AS36" s="62" t="n">
        <v>3</v>
      </c>
    </row>
    <row r="37" ht="18.75" customHeight="1">
      <c r="A37" s="10" t="inlineStr">
        <is>
          <t>Volitation VT510</t>
        </is>
      </c>
      <c r="B37" s="74" t="inlineStr">
        <is>
          <t>Nan</t>
        </is>
      </c>
      <c r="C37" s="74" t="inlineStr">
        <is>
          <t>Nan</t>
        </is>
      </c>
      <c r="D37" s="75" t="n">
        <v>32.32</v>
      </c>
      <c r="E37" s="13" t="n">
        <v>17000</v>
      </c>
      <c r="F37" s="13">
        <f>P37</f>
        <v/>
      </c>
      <c r="G37" s="82" t="n">
        <v>2.623959453669779</v>
      </c>
      <c r="H37" s="76" t="inlineStr">
        <is>
          <t>Nan</t>
        </is>
      </c>
      <c r="I37" s="15" t="n">
        <v>2.905</v>
      </c>
      <c r="J37" s="76" t="inlineStr">
        <is>
          <t>Nan</t>
        </is>
      </c>
      <c r="K37" s="76" t="inlineStr">
        <is>
          <t>Nan</t>
        </is>
      </c>
      <c r="L37" s="17" t="n">
        <v>100</v>
      </c>
      <c r="M37" s="85" t="n">
        <v>540</v>
      </c>
      <c r="N37" s="18" t="n">
        <v>5</v>
      </c>
      <c r="O37" s="18" t="n">
        <v>50</v>
      </c>
      <c r="P37" s="18" t="n">
        <v>25</v>
      </c>
      <c r="Q37" s="76" t="inlineStr">
        <is>
          <t>Nan</t>
        </is>
      </c>
      <c r="R37" s="76" t="inlineStr">
        <is>
          <t>Nan</t>
        </is>
      </c>
      <c r="S37" s="27" t="n">
        <v>5.1</v>
      </c>
      <c r="T37" s="76" t="inlineStr">
        <is>
          <t>Nan</t>
        </is>
      </c>
      <c r="U37" s="19" t="n">
        <v>25</v>
      </c>
      <c r="V37" s="74" t="inlineStr">
        <is>
          <t>Nan</t>
        </is>
      </c>
      <c r="W37" s="19" t="n">
        <v>30</v>
      </c>
      <c r="X37" s="76" t="inlineStr">
        <is>
          <t>Nan</t>
        </is>
      </c>
      <c r="Y37" s="76" t="inlineStr">
        <is>
          <t>Nan</t>
        </is>
      </c>
      <c r="Z37" s="76" t="inlineStr">
        <is>
          <t>Nan</t>
        </is>
      </c>
      <c r="AA37" s="83" t="n">
        <v>75</v>
      </c>
      <c r="AB37" s="76" t="inlineStr">
        <is>
          <t>Nan</t>
        </is>
      </c>
      <c r="AC37" s="76" t="inlineStr">
        <is>
          <t>Nan</t>
        </is>
      </c>
      <c r="AD37" s="76" t="inlineStr">
        <is>
          <t>Nan</t>
        </is>
      </c>
      <c r="AE37" s="76" t="inlineStr">
        <is>
          <t>Nan</t>
        </is>
      </c>
      <c r="AF37" s="76" t="inlineStr">
        <is>
          <t>Nan</t>
        </is>
      </c>
      <c r="AG37" s="19" t="n">
        <v>25</v>
      </c>
      <c r="AH37" s="19" t="n">
        <v>5</v>
      </c>
      <c r="AI37" s="76" t="inlineStr">
        <is>
          <t>Nan</t>
        </is>
      </c>
      <c r="AJ37" s="76" t="inlineStr">
        <is>
          <t>Nan</t>
        </is>
      </c>
      <c r="AK37" s="19" t="n">
        <v>16599</v>
      </c>
      <c r="AL37" s="76" t="inlineStr">
        <is>
          <t>Nan</t>
        </is>
      </c>
      <c r="AM37" s="62" t="n">
        <v>2</v>
      </c>
      <c r="AN37" s="62" t="n">
        <v>2</v>
      </c>
      <c r="AO37" s="62" t="n">
        <v>1</v>
      </c>
      <c r="AP37" s="62" t="n">
        <v>4</v>
      </c>
      <c r="AQ37" s="62" t="n">
        <v>1</v>
      </c>
      <c r="AR37" s="62" t="n">
        <v>1</v>
      </c>
      <c r="AS37" s="62" t="n">
        <v>3</v>
      </c>
    </row>
    <row r="38" ht="18.75" customHeight="1">
      <c r="A38" s="10" t="inlineStr">
        <is>
          <t>Ascend</t>
        </is>
      </c>
      <c r="B38" s="74" t="inlineStr">
        <is>
          <t>Nan</t>
        </is>
      </c>
      <c r="C38" s="74" t="inlineStr">
        <is>
          <t>Nan</t>
        </is>
      </c>
      <c r="D38" s="75" t="n">
        <v>21.55</v>
      </c>
      <c r="E38" s="13" t="n">
        <v>10000</v>
      </c>
      <c r="F38" s="82" t="n">
        <v>13</v>
      </c>
      <c r="G38" s="76" t="inlineStr">
        <is>
          <t>Nan</t>
        </is>
      </c>
      <c r="H38" s="76" t="inlineStr">
        <is>
          <t>Nan</t>
        </is>
      </c>
      <c r="I38" s="15" t="n">
        <v>1.562</v>
      </c>
      <c r="J38" s="76" t="inlineStr">
        <is>
          <t>Nan</t>
        </is>
      </c>
      <c r="K38" s="76" t="inlineStr">
        <is>
          <t>Nan</t>
        </is>
      </c>
      <c r="L38" s="17" t="n">
        <v>9.5</v>
      </c>
      <c r="M38" s="85" t="n">
        <v>432</v>
      </c>
      <c r="N38" s="18" t="n">
        <v>6</v>
      </c>
      <c r="O38" s="18" t="n">
        <v>30</v>
      </c>
      <c r="P38" s="18" t="n">
        <v>13</v>
      </c>
      <c r="Q38" s="76" t="inlineStr">
        <is>
          <t>Nan</t>
        </is>
      </c>
      <c r="R38" s="76" t="inlineStr">
        <is>
          <t>Nan</t>
        </is>
      </c>
      <c r="S38" s="27" t="n">
        <v>2</v>
      </c>
      <c r="T38" s="76" t="inlineStr">
        <is>
          <t>Nan</t>
        </is>
      </c>
      <c r="U38" s="19" t="n">
        <v>0.6</v>
      </c>
      <c r="V38" s="20" t="n">
        <v>0.05</v>
      </c>
      <c r="W38" s="19" t="n">
        <v>20</v>
      </c>
      <c r="X38" s="76" t="inlineStr">
        <is>
          <t>Nan</t>
        </is>
      </c>
      <c r="Y38" s="19" t="n">
        <v>3</v>
      </c>
      <c r="Z38" s="19" t="n">
        <v>6</v>
      </c>
      <c r="AA38" s="19" t="n">
        <v>8.9</v>
      </c>
      <c r="AB38" s="76" t="inlineStr">
        <is>
          <t>Nan</t>
        </is>
      </c>
      <c r="AC38" s="19" t="n">
        <v>15</v>
      </c>
      <c r="AD38" s="76" t="inlineStr">
        <is>
          <t>Nan</t>
        </is>
      </c>
      <c r="AE38" s="76" t="inlineStr">
        <is>
          <t>Nan</t>
        </is>
      </c>
      <c r="AF38" s="76" t="inlineStr">
        <is>
          <t>Nan</t>
        </is>
      </c>
      <c r="AG38" s="76" t="inlineStr">
        <is>
          <t>Nan</t>
        </is>
      </c>
      <c r="AH38" s="76" t="inlineStr">
        <is>
          <t>Nan</t>
        </is>
      </c>
      <c r="AI38" s="76" t="inlineStr">
        <is>
          <t>Nan</t>
        </is>
      </c>
      <c r="AJ38" s="76" t="inlineStr">
        <is>
          <t>Nan</t>
        </is>
      </c>
      <c r="AK38" s="76" t="inlineStr">
        <is>
          <t>Nan</t>
        </is>
      </c>
      <c r="AL38" s="76" t="inlineStr">
        <is>
          <t>Nan</t>
        </is>
      </c>
      <c r="AM38" s="62" t="n">
        <v>2</v>
      </c>
      <c r="AN38" s="62" t="n">
        <v>2</v>
      </c>
      <c r="AO38" s="62" t="n">
        <v>1</v>
      </c>
      <c r="AP38" s="62" t="n">
        <v>4</v>
      </c>
      <c r="AQ38" s="62" t="n">
        <v>1</v>
      </c>
      <c r="AR38" s="62" t="n">
        <v>1</v>
      </c>
      <c r="AS38" s="62" t="n">
        <v>3</v>
      </c>
    </row>
    <row r="39" ht="18.75" customHeight="1">
      <c r="A39" s="10" t="inlineStr">
        <is>
          <t>Transition</t>
        </is>
      </c>
      <c r="B39" s="74" t="inlineStr">
        <is>
          <t>Nan</t>
        </is>
      </c>
      <c r="C39" s="74" t="inlineStr">
        <is>
          <t>Nan</t>
        </is>
      </c>
      <c r="D39" s="75" t="n">
        <v>21.55</v>
      </c>
      <c r="E39" s="13" t="n">
        <v>13000</v>
      </c>
      <c r="F39" s="82" t="n">
        <v>13</v>
      </c>
      <c r="G39" s="82" t="n">
        <v>0.9618594019287705</v>
      </c>
      <c r="H39" s="76" t="inlineStr">
        <is>
          <t>Nan</t>
        </is>
      </c>
      <c r="I39" s="15" t="n">
        <v>2.3</v>
      </c>
      <c r="J39" s="76" t="inlineStr">
        <is>
          <t>Nan</t>
        </is>
      </c>
      <c r="K39" s="76" t="inlineStr">
        <is>
          <t>Nan</t>
        </is>
      </c>
      <c r="L39" s="17" t="n">
        <v>18</v>
      </c>
      <c r="M39" s="85" t="n">
        <v>864</v>
      </c>
      <c r="N39" s="18" t="n">
        <v>12</v>
      </c>
      <c r="O39" s="18" t="n">
        <v>30</v>
      </c>
      <c r="P39" s="18" t="n">
        <v>13</v>
      </c>
      <c r="Q39" s="76" t="inlineStr">
        <is>
          <t>Nan</t>
        </is>
      </c>
      <c r="R39" s="76" t="inlineStr">
        <is>
          <t>Nan</t>
        </is>
      </c>
      <c r="S39" s="27" t="n">
        <v>3</v>
      </c>
      <c r="T39" s="76" t="inlineStr">
        <is>
          <t>Nan</t>
        </is>
      </c>
      <c r="U39" s="19" t="n">
        <v>1.5</v>
      </c>
      <c r="V39" s="20" t="n">
        <v>0.05</v>
      </c>
      <c r="W39" s="19" t="n">
        <v>20</v>
      </c>
      <c r="X39" s="76" t="inlineStr">
        <is>
          <t>Nan</t>
        </is>
      </c>
      <c r="Y39" s="19" t="n">
        <v>5.8</v>
      </c>
      <c r="Z39" s="19" t="n">
        <v>11.8</v>
      </c>
      <c r="AA39" s="19" t="n">
        <v>16.5</v>
      </c>
      <c r="AB39" s="76" t="inlineStr">
        <is>
          <t>Nan</t>
        </is>
      </c>
      <c r="AC39" s="19" t="n">
        <v>15</v>
      </c>
      <c r="AD39" s="76" t="inlineStr">
        <is>
          <t>Nan</t>
        </is>
      </c>
      <c r="AE39" s="76" t="inlineStr">
        <is>
          <t>Nan</t>
        </is>
      </c>
      <c r="AF39" s="76" t="inlineStr">
        <is>
          <t>Nan</t>
        </is>
      </c>
      <c r="AG39" s="76" t="inlineStr">
        <is>
          <t>Nan</t>
        </is>
      </c>
      <c r="AH39" s="76" t="inlineStr">
        <is>
          <t>Nan</t>
        </is>
      </c>
      <c r="AI39" s="76" t="inlineStr">
        <is>
          <t>Nan</t>
        </is>
      </c>
      <c r="AJ39" s="76" t="inlineStr">
        <is>
          <t>Nan</t>
        </is>
      </c>
      <c r="AK39" s="76" t="inlineStr">
        <is>
          <t>Nan</t>
        </is>
      </c>
      <c r="AL39" s="76" t="inlineStr">
        <is>
          <t>Nan</t>
        </is>
      </c>
      <c r="AM39" s="62" t="n">
        <v>2</v>
      </c>
      <c r="AN39" s="62" t="n">
        <v>2</v>
      </c>
      <c r="AO39" s="62" t="n">
        <v>1</v>
      </c>
      <c r="AP39" s="62" t="n">
        <v>4</v>
      </c>
      <c r="AQ39" s="62" t="n">
        <v>1</v>
      </c>
      <c r="AR39" s="62" t="n">
        <v>1</v>
      </c>
      <c r="AS39" s="62" t="n">
        <v>3</v>
      </c>
    </row>
    <row r="40" ht="18.75" customHeight="1">
      <c r="A40" s="10" t="inlineStr">
        <is>
          <t>Reach</t>
        </is>
      </c>
      <c r="B40" s="74" t="inlineStr">
        <is>
          <t>Nan</t>
        </is>
      </c>
      <c r="C40" s="74" t="inlineStr">
        <is>
          <t>Nan</t>
        </is>
      </c>
      <c r="D40" s="75" t="n">
        <v>26.93</v>
      </c>
      <c r="E40" s="13" t="n">
        <v>16000</v>
      </c>
      <c r="F40" s="82" t="n">
        <v>13</v>
      </c>
      <c r="G40" s="82" t="n">
        <v>1.116152309124217</v>
      </c>
      <c r="H40" s="76" t="inlineStr">
        <is>
          <t>Nan</t>
        </is>
      </c>
      <c r="I40" s="15" t="n">
        <v>4.712</v>
      </c>
      <c r="J40" s="76" t="inlineStr">
        <is>
          <t>Nan</t>
        </is>
      </c>
      <c r="K40" s="76" t="inlineStr">
        <is>
          <t>Nan</t>
        </is>
      </c>
      <c r="L40" s="17" t="n">
        <v>91</v>
      </c>
      <c r="M40" s="85" t="n">
        <v>1800</v>
      </c>
      <c r="N40" s="18" t="n">
        <v>20</v>
      </c>
      <c r="O40" s="18" t="n">
        <v>35</v>
      </c>
      <c r="P40" s="18" t="n">
        <v>13</v>
      </c>
      <c r="Q40" s="76" t="inlineStr">
        <is>
          <t>Nan</t>
        </is>
      </c>
      <c r="R40" s="76" t="inlineStr">
        <is>
          <t>Nan</t>
        </is>
      </c>
      <c r="S40" s="27" t="n">
        <v>6</v>
      </c>
      <c r="T40" s="76" t="inlineStr">
        <is>
          <t>Nan</t>
        </is>
      </c>
      <c r="U40" s="19" t="n">
        <v>7</v>
      </c>
      <c r="V40" s="19" t="n">
        <v>0.05</v>
      </c>
      <c r="W40" s="19" t="n">
        <v>25</v>
      </c>
      <c r="X40" s="81" t="inlineStr">
        <is>
          <t>Nan</t>
        </is>
      </c>
      <c r="Y40" s="19" t="n">
        <v>31</v>
      </c>
      <c r="Z40" s="19" t="n">
        <v>54</v>
      </c>
      <c r="AA40" s="19" t="n">
        <v>84</v>
      </c>
      <c r="AB40" s="76" t="inlineStr">
        <is>
          <t>Nan</t>
        </is>
      </c>
      <c r="AC40" s="19" t="n">
        <v>15</v>
      </c>
      <c r="AD40" s="76" t="inlineStr">
        <is>
          <t>Nan</t>
        </is>
      </c>
      <c r="AE40" s="76" t="inlineStr">
        <is>
          <t>Nan</t>
        </is>
      </c>
      <c r="AF40" s="76" t="inlineStr">
        <is>
          <t>Nan</t>
        </is>
      </c>
      <c r="AG40" s="76" t="inlineStr">
        <is>
          <t>Nan</t>
        </is>
      </c>
      <c r="AH40" s="76" t="inlineStr">
        <is>
          <t>Nan</t>
        </is>
      </c>
      <c r="AI40" s="76" t="inlineStr">
        <is>
          <t>Nan</t>
        </is>
      </c>
      <c r="AJ40" s="76" t="inlineStr">
        <is>
          <t>Nan</t>
        </is>
      </c>
      <c r="AK40" s="76" t="inlineStr">
        <is>
          <t>Nan</t>
        </is>
      </c>
      <c r="AL40" s="76" t="inlineStr">
        <is>
          <t>Nan</t>
        </is>
      </c>
      <c r="AM40" s="62" t="n">
        <v>2</v>
      </c>
      <c r="AN40" s="62" t="n">
        <v>2</v>
      </c>
      <c r="AO40" s="62" t="n">
        <v>1</v>
      </c>
      <c r="AP40" s="62" t="n">
        <v>4</v>
      </c>
      <c r="AQ40" s="62" t="n">
        <v>1</v>
      </c>
      <c r="AR40" s="62" t="n">
        <v>1</v>
      </c>
      <c r="AS40" s="62" t="n">
        <v>3</v>
      </c>
    </row>
    <row r="41" ht="18.75" customHeight="1">
      <c r="A41" s="10" t="inlineStr">
        <is>
          <t>HYFLY H510</t>
        </is>
      </c>
      <c r="B41" s="74" t="inlineStr">
        <is>
          <t>Nan</t>
        </is>
      </c>
      <c r="C41" s="74" t="inlineStr">
        <is>
          <t>Nan</t>
        </is>
      </c>
      <c r="D41" s="75" t="n">
        <v>29.84</v>
      </c>
      <c r="E41" s="76" t="inlineStr">
        <is>
          <t>Nan</t>
        </is>
      </c>
      <c r="F41" s="76" t="inlineStr">
        <is>
          <t>Nan</t>
        </is>
      </c>
      <c r="G41" s="76" t="inlineStr">
        <is>
          <t>Nan</t>
        </is>
      </c>
      <c r="H41" s="76" t="inlineStr">
        <is>
          <t>Nan</t>
        </is>
      </c>
      <c r="I41" s="76" t="inlineStr">
        <is>
          <t>Nan</t>
        </is>
      </c>
      <c r="J41" s="76" t="inlineStr">
        <is>
          <t>Nan</t>
        </is>
      </c>
      <c r="K41" s="76" t="inlineStr">
        <is>
          <t>Nan</t>
        </is>
      </c>
      <c r="L41" s="17" t="n">
        <v>75</v>
      </c>
      <c r="M41" s="76" t="inlineStr">
        <is>
          <t>Nan</t>
        </is>
      </c>
      <c r="N41" s="76" t="inlineStr">
        <is>
          <t>Nan</t>
        </is>
      </c>
      <c r="O41" s="76" t="inlineStr">
        <is>
          <t>Nan</t>
        </is>
      </c>
      <c r="P41" s="76" t="inlineStr">
        <is>
          <t>Nan</t>
        </is>
      </c>
      <c r="Q41" s="76" t="inlineStr">
        <is>
          <t>Nan</t>
        </is>
      </c>
      <c r="R41" s="76" t="inlineStr">
        <is>
          <t>Nan</t>
        </is>
      </c>
      <c r="S41" s="19" t="n">
        <v>3</v>
      </c>
      <c r="T41" s="76" t="inlineStr">
        <is>
          <t>Nan</t>
        </is>
      </c>
      <c r="U41" s="19" t="n">
        <v>10</v>
      </c>
      <c r="V41" s="76" t="inlineStr">
        <is>
          <t>Nan</t>
        </is>
      </c>
      <c r="W41" s="19" t="n">
        <v>27.7</v>
      </c>
      <c r="X41" s="76" t="inlineStr">
        <is>
          <t>Nan</t>
        </is>
      </c>
      <c r="Y41" s="76" t="inlineStr">
        <is>
          <t>Nan</t>
        </is>
      </c>
      <c r="Z41" s="76" t="inlineStr">
        <is>
          <t>Nan</t>
        </is>
      </c>
      <c r="AA41" s="83" t="n">
        <v>65</v>
      </c>
      <c r="AB41" s="76" t="inlineStr">
        <is>
          <t>Nan</t>
        </is>
      </c>
      <c r="AC41" s="76" t="inlineStr">
        <is>
          <t>Nan</t>
        </is>
      </c>
      <c r="AD41" s="76" t="inlineStr">
        <is>
          <t>Nan</t>
        </is>
      </c>
      <c r="AE41" s="76" t="inlineStr">
        <is>
          <t>Nan</t>
        </is>
      </c>
      <c r="AF41" s="76" t="inlineStr">
        <is>
          <t>Nan</t>
        </is>
      </c>
      <c r="AG41" s="76" t="inlineStr">
        <is>
          <t>Nan</t>
        </is>
      </c>
      <c r="AH41" s="76" t="inlineStr">
        <is>
          <t>Nan</t>
        </is>
      </c>
      <c r="AI41" s="76" t="inlineStr">
        <is>
          <t>Nan</t>
        </is>
      </c>
      <c r="AJ41" s="76" t="inlineStr">
        <is>
          <t>Nan</t>
        </is>
      </c>
      <c r="AK41" s="76" t="inlineStr">
        <is>
          <t>Nan</t>
        </is>
      </c>
      <c r="AL41" s="76" t="inlineStr">
        <is>
          <t>Nan</t>
        </is>
      </c>
      <c r="AM41" s="62" t="n">
        <v>2</v>
      </c>
      <c r="AN41" s="64" t="n">
        <v>4</v>
      </c>
      <c r="AO41" s="64" t="n">
        <v>4</v>
      </c>
      <c r="AP41" s="64" t="n">
        <v>4</v>
      </c>
      <c r="AQ41" s="64" t="n">
        <v>4</v>
      </c>
      <c r="AR41" s="64" t="n">
        <v>5</v>
      </c>
      <c r="AS41" s="62" t="n">
        <v>3</v>
      </c>
    </row>
    <row r="42" ht="18.75" customHeight="1">
      <c r="A42" s="10" t="inlineStr">
        <is>
          <t>HYFLY H405</t>
        </is>
      </c>
      <c r="B42" s="76" t="inlineStr">
        <is>
          <t>Nan</t>
        </is>
      </c>
      <c r="C42" s="74" t="inlineStr">
        <is>
          <t>Nan</t>
        </is>
      </c>
      <c r="D42" s="75" t="n">
        <v>26.93</v>
      </c>
      <c r="E42" s="76" t="inlineStr">
        <is>
          <t>Nan</t>
        </is>
      </c>
      <c r="F42" s="76" t="inlineStr">
        <is>
          <t>Nan</t>
        </is>
      </c>
      <c r="G42" s="76" t="inlineStr">
        <is>
          <t>Nan</t>
        </is>
      </c>
      <c r="H42" s="76" t="inlineStr">
        <is>
          <t>Nan</t>
        </is>
      </c>
      <c r="I42" s="15" t="n">
        <v>1.5</v>
      </c>
      <c r="J42" s="76" t="inlineStr">
        <is>
          <t>Nan</t>
        </is>
      </c>
      <c r="K42" s="76" t="inlineStr">
        <is>
          <t>Nan</t>
        </is>
      </c>
      <c r="L42" s="17" t="n">
        <v>25</v>
      </c>
      <c r="M42" s="76" t="inlineStr">
        <is>
          <t>Nan</t>
        </is>
      </c>
      <c r="N42" s="76" t="inlineStr">
        <is>
          <t>Nan</t>
        </is>
      </c>
      <c r="O42" s="76" t="inlineStr">
        <is>
          <t>Nan</t>
        </is>
      </c>
      <c r="P42" s="76" t="inlineStr">
        <is>
          <t>Nan</t>
        </is>
      </c>
      <c r="Q42" s="76" t="inlineStr">
        <is>
          <t>Nan</t>
        </is>
      </c>
      <c r="R42" s="76" t="inlineStr">
        <is>
          <t>Nan</t>
        </is>
      </c>
      <c r="S42" s="19" t="n">
        <v>1.5</v>
      </c>
      <c r="T42" s="76" t="inlineStr">
        <is>
          <t>Nan</t>
        </is>
      </c>
      <c r="U42" s="19" t="n">
        <v>5</v>
      </c>
      <c r="V42" s="76" t="inlineStr">
        <is>
          <t>Nan</t>
        </is>
      </c>
      <c r="W42" s="19" t="n">
        <v>25</v>
      </c>
      <c r="X42" s="76" t="inlineStr">
        <is>
          <t>Nan</t>
        </is>
      </c>
      <c r="Y42" s="76" t="inlineStr">
        <is>
          <t>Nan</t>
        </is>
      </c>
      <c r="Z42" s="76" t="inlineStr">
        <is>
          <t>Nan</t>
        </is>
      </c>
      <c r="AA42" s="83" t="n">
        <v>20</v>
      </c>
      <c r="AB42" s="76" t="inlineStr">
        <is>
          <t>Nan</t>
        </is>
      </c>
      <c r="AC42" s="76" t="inlineStr">
        <is>
          <t>Nan</t>
        </is>
      </c>
      <c r="AD42" s="76" t="inlineStr">
        <is>
          <t>Nan</t>
        </is>
      </c>
      <c r="AE42" s="76" t="inlineStr">
        <is>
          <t>Nan</t>
        </is>
      </c>
      <c r="AF42" s="76" t="inlineStr">
        <is>
          <t>Nan</t>
        </is>
      </c>
      <c r="AG42" s="76" t="inlineStr">
        <is>
          <t>Nan</t>
        </is>
      </c>
      <c r="AH42" s="76" t="inlineStr">
        <is>
          <t>Nan</t>
        </is>
      </c>
      <c r="AI42" s="76" t="inlineStr">
        <is>
          <t>Nan</t>
        </is>
      </c>
      <c r="AJ42" s="76" t="inlineStr">
        <is>
          <t>Nan</t>
        </is>
      </c>
      <c r="AK42" s="76" t="inlineStr">
        <is>
          <t>Nan</t>
        </is>
      </c>
      <c r="AL42" s="76" t="inlineStr">
        <is>
          <t>Nan</t>
        </is>
      </c>
      <c r="AM42" s="62" t="n">
        <v>2</v>
      </c>
      <c r="AN42" s="64" t="n">
        <v>4</v>
      </c>
      <c r="AO42" s="64" t="n">
        <v>4</v>
      </c>
      <c r="AP42" s="64" t="n">
        <v>4</v>
      </c>
      <c r="AQ42" s="64" t="n">
        <v>4</v>
      </c>
      <c r="AR42" s="64" t="n">
        <v>5</v>
      </c>
      <c r="AS42" s="62" t="n">
        <v>3</v>
      </c>
    </row>
    <row r="43" ht="18.75" customHeight="1">
      <c r="A43" s="10" t="inlineStr">
        <is>
          <t xml:space="preserve">JOUAV CW-007 </t>
        </is>
      </c>
      <c r="B43" s="13" t="inlineStr">
        <is>
          <t>Nan</t>
        </is>
      </c>
      <c r="C43" s="13" t="inlineStr">
        <is>
          <t>Nan</t>
        </is>
      </c>
      <c r="D43" s="13" t="inlineStr">
        <is>
          <t>Nan</t>
        </is>
      </c>
      <c r="E43" s="13" t="n">
        <v>19500</v>
      </c>
      <c r="F43" s="13" t="inlineStr">
        <is>
          <t>Nan</t>
        </is>
      </c>
      <c r="G43" s="15" t="inlineStr">
        <is>
          <t>Nan</t>
        </is>
      </c>
      <c r="H43" s="15" t="inlineStr">
        <is>
          <t>Nan</t>
        </is>
      </c>
      <c r="I43" s="15" t="inlineStr">
        <is>
          <t>Nan</t>
        </is>
      </c>
      <c r="J43" s="15" t="inlineStr">
        <is>
          <t>Nan</t>
        </is>
      </c>
      <c r="K43" s="15" t="inlineStr">
        <is>
          <t>Nan</t>
        </is>
      </c>
      <c r="L43" s="17" t="n">
        <v>7</v>
      </c>
      <c r="M43" s="18" t="inlineStr">
        <is>
          <t>Nan</t>
        </is>
      </c>
      <c r="N43" s="18" t="n">
        <v>0.92</v>
      </c>
      <c r="O43" s="18" t="inlineStr">
        <is>
          <t>Nan</t>
        </is>
      </c>
      <c r="P43" s="18" t="inlineStr">
        <is>
          <t>Nan</t>
        </is>
      </c>
      <c r="Q43" s="18" t="inlineStr">
        <is>
          <t>Nan</t>
        </is>
      </c>
      <c r="R43" s="18" t="inlineStr">
        <is>
          <t>Nan</t>
        </is>
      </c>
      <c r="S43" s="19" t="inlineStr">
        <is>
          <t>Nan</t>
        </is>
      </c>
      <c r="T43" s="19" t="inlineStr">
        <is>
          <t>Nan</t>
        </is>
      </c>
      <c r="U43" s="19" t="n">
        <v>1</v>
      </c>
      <c r="V43" s="19" t="inlineStr">
        <is>
          <t>Nan</t>
        </is>
      </c>
      <c r="W43" s="19" t="n">
        <v>17</v>
      </c>
      <c r="X43" s="19" t="inlineStr">
        <is>
          <t>Nan</t>
        </is>
      </c>
      <c r="Y43" s="19" t="inlineStr">
        <is>
          <t>Nan</t>
        </is>
      </c>
      <c r="Z43" s="19" t="inlineStr">
        <is>
          <t>Nan</t>
        </is>
      </c>
      <c r="AA43" s="19" t="inlineStr">
        <is>
          <t>Nan</t>
        </is>
      </c>
      <c r="AB43" s="19" t="inlineStr">
        <is>
          <t>Nan</t>
        </is>
      </c>
      <c r="AC43" s="19" t="inlineStr">
        <is>
          <t>Nan</t>
        </is>
      </c>
      <c r="AD43" s="19" t="inlineStr">
        <is>
          <t>Nan</t>
        </is>
      </c>
      <c r="AE43" s="19" t="inlineStr">
        <is>
          <t>Nan</t>
        </is>
      </c>
      <c r="AF43" s="19" t="inlineStr">
        <is>
          <t>Nan</t>
        </is>
      </c>
      <c r="AG43" s="19" t="inlineStr">
        <is>
          <t>Nan</t>
        </is>
      </c>
      <c r="AH43" s="19" t="inlineStr">
        <is>
          <t>Nan</t>
        </is>
      </c>
      <c r="AI43" s="19" t="inlineStr">
        <is>
          <t>Nan</t>
        </is>
      </c>
      <c r="AJ43" s="19" t="inlineStr">
        <is>
          <t>Nan</t>
        </is>
      </c>
      <c r="AK43" s="19" t="inlineStr">
        <is>
          <t>Nan</t>
        </is>
      </c>
      <c r="AL43" s="19" t="inlineStr">
        <is>
          <t>Nan</t>
        </is>
      </c>
      <c r="AM43" s="62" t="n">
        <v>2</v>
      </c>
      <c r="AN43" s="64" t="n">
        <v>1</v>
      </c>
      <c r="AO43" s="64" t="n">
        <v>1</v>
      </c>
      <c r="AP43" s="64" t="n">
        <v>4</v>
      </c>
      <c r="AQ43" s="64" t="n">
        <v>1</v>
      </c>
      <c r="AR43" s="64" t="n">
        <v>1</v>
      </c>
      <c r="AS43" s="62" t="n">
        <v>3</v>
      </c>
    </row>
    <row r="44" ht="18.75" customHeight="1">
      <c r="A44" s="10" t="inlineStr">
        <is>
          <t>JOUAV CW-15</t>
        </is>
      </c>
      <c r="B44" s="76" t="inlineStr">
        <is>
          <t>Nan</t>
        </is>
      </c>
      <c r="C44" s="76" t="inlineStr">
        <is>
          <t>Nan</t>
        </is>
      </c>
      <c r="D44" s="75" t="n">
        <v>18.25</v>
      </c>
      <c r="E44" s="13" t="n">
        <v>20000</v>
      </c>
      <c r="F44" s="76" t="inlineStr">
        <is>
          <t>Nan</t>
        </is>
      </c>
      <c r="G44" s="76" t="inlineStr">
        <is>
          <t>Nan</t>
        </is>
      </c>
      <c r="H44" s="76" t="inlineStr">
        <is>
          <t>Nan</t>
        </is>
      </c>
      <c r="I44" s="15" t="n">
        <v>2.06</v>
      </c>
      <c r="J44" s="76" t="inlineStr">
        <is>
          <t>Nan</t>
        </is>
      </c>
      <c r="K44" s="76" t="inlineStr">
        <is>
          <t>Nan</t>
        </is>
      </c>
      <c r="L44" s="17" t="n">
        <v>17</v>
      </c>
      <c r="M44" s="85" t="n">
        <v>182.95</v>
      </c>
      <c r="N44" s="18" t="n">
        <v>3</v>
      </c>
      <c r="O44" s="82" t="n">
        <v>33.47688505925709</v>
      </c>
      <c r="P44" s="76" t="inlineStr">
        <is>
          <t>Nan</t>
        </is>
      </c>
      <c r="Q44" s="76" t="inlineStr">
        <is>
          <t>Nan</t>
        </is>
      </c>
      <c r="R44" s="76" t="inlineStr">
        <is>
          <t>Nan</t>
        </is>
      </c>
      <c r="S44" s="76" t="inlineStr">
        <is>
          <t>Nan</t>
        </is>
      </c>
      <c r="T44" s="76" t="inlineStr">
        <is>
          <t>Nan</t>
        </is>
      </c>
      <c r="U44" s="19" t="n">
        <v>3</v>
      </c>
      <c r="V44" s="76" t="inlineStr">
        <is>
          <t>Nan</t>
        </is>
      </c>
      <c r="W44" s="19" t="n">
        <v>16.94</v>
      </c>
      <c r="X44" s="76" t="inlineStr">
        <is>
          <t>Nan</t>
        </is>
      </c>
      <c r="Y44" s="76" t="inlineStr">
        <is>
          <t>Nan</t>
        </is>
      </c>
      <c r="Z44" s="76" t="inlineStr">
        <is>
          <t>Nan</t>
        </is>
      </c>
      <c r="AA44" s="83" t="n">
        <v>14</v>
      </c>
      <c r="AB44" s="76" t="inlineStr">
        <is>
          <t>Nan</t>
        </is>
      </c>
      <c r="AC44" s="19" t="n">
        <v>13.8</v>
      </c>
      <c r="AD44" s="19" t="n">
        <v>50</v>
      </c>
      <c r="AE44" s="76" t="inlineStr">
        <is>
          <t>Nan</t>
        </is>
      </c>
      <c r="AF44" s="76" t="inlineStr">
        <is>
          <t>Nan</t>
        </is>
      </c>
      <c r="AG44" s="76" t="inlineStr">
        <is>
          <t>Nan</t>
        </is>
      </c>
      <c r="AH44" s="76" t="inlineStr">
        <is>
          <t>Nan</t>
        </is>
      </c>
      <c r="AI44" s="76" t="inlineStr">
        <is>
          <t>Nan</t>
        </is>
      </c>
      <c r="AJ44" s="76" t="inlineStr">
        <is>
          <t>Nan</t>
        </is>
      </c>
      <c r="AK44" s="76" t="inlineStr">
        <is>
          <t>Nan</t>
        </is>
      </c>
      <c r="AL44" s="76" t="inlineStr">
        <is>
          <t>Nan</t>
        </is>
      </c>
      <c r="AM44" s="62" t="n">
        <v>2</v>
      </c>
      <c r="AN44" s="64" t="n">
        <v>1</v>
      </c>
      <c r="AO44" s="64" t="n">
        <v>1</v>
      </c>
      <c r="AP44" s="64" t="n">
        <v>4</v>
      </c>
      <c r="AQ44" s="64" t="n">
        <v>1</v>
      </c>
      <c r="AR44" s="64" t="n">
        <v>1</v>
      </c>
      <c r="AS44" s="62" t="n">
        <v>3</v>
      </c>
    </row>
    <row r="45" ht="18.75" customHeight="1">
      <c r="A45" s="10" t="inlineStr">
        <is>
          <t>JOUAV CW-25E</t>
        </is>
      </c>
      <c r="B45" s="76" t="inlineStr">
        <is>
          <t>Nan</t>
        </is>
      </c>
      <c r="C45" s="76" t="inlineStr">
        <is>
          <t>Nan</t>
        </is>
      </c>
      <c r="D45" s="75" t="n">
        <v>20.9</v>
      </c>
      <c r="E45" s="13" t="n">
        <v>13000</v>
      </c>
      <c r="F45" s="82" t="n">
        <v>14.93636217323157</v>
      </c>
      <c r="G45" s="76" t="inlineStr">
        <is>
          <t>Nan</t>
        </is>
      </c>
      <c r="H45" s="76" t="inlineStr">
        <is>
          <t>Nan</t>
        </is>
      </c>
      <c r="I45" s="15" t="n">
        <v>2.18</v>
      </c>
      <c r="J45" s="76" t="inlineStr">
        <is>
          <t>Nan</t>
        </is>
      </c>
      <c r="K45" s="76" t="inlineStr">
        <is>
          <t>Nan</t>
        </is>
      </c>
      <c r="L45" s="17" t="n">
        <v>31.58</v>
      </c>
      <c r="M45" s="85" t="n">
        <v>244.44</v>
      </c>
      <c r="N45" s="18" t="n">
        <v>3.5</v>
      </c>
      <c r="O45" s="82" t="n">
        <v>32.17474223911945</v>
      </c>
      <c r="P45" s="76" t="inlineStr">
        <is>
          <t>Nan</t>
        </is>
      </c>
      <c r="Q45" s="76" t="inlineStr">
        <is>
          <t>Nan</t>
        </is>
      </c>
      <c r="R45" s="76" t="inlineStr">
        <is>
          <t>Nan</t>
        </is>
      </c>
      <c r="S45" s="19" t="n">
        <v>4.35</v>
      </c>
      <c r="T45" s="76" t="inlineStr">
        <is>
          <t>Nan</t>
        </is>
      </c>
      <c r="U45" s="19" t="n">
        <v>6</v>
      </c>
      <c r="V45" s="76" t="inlineStr">
        <is>
          <t>Nan</t>
        </is>
      </c>
      <c r="W45" s="19" t="n">
        <v>19.4</v>
      </c>
      <c r="X45" s="76" t="inlineStr">
        <is>
          <t>Nan</t>
        </is>
      </c>
      <c r="Y45" s="76" t="inlineStr">
        <is>
          <t>Nan</t>
        </is>
      </c>
      <c r="Z45" s="76" t="inlineStr">
        <is>
          <t>Nan</t>
        </is>
      </c>
      <c r="AA45" s="83" t="n">
        <v>25.58</v>
      </c>
      <c r="AB45" s="76" t="inlineStr">
        <is>
          <t>Nan</t>
        </is>
      </c>
      <c r="AC45" s="19" t="n">
        <v>17</v>
      </c>
      <c r="AD45" s="19" t="n">
        <v>200</v>
      </c>
      <c r="AE45" s="76" t="inlineStr">
        <is>
          <t>Nan</t>
        </is>
      </c>
      <c r="AF45" s="76" t="inlineStr">
        <is>
          <t>Nan</t>
        </is>
      </c>
      <c r="AG45" s="76" t="inlineStr">
        <is>
          <t>Nan</t>
        </is>
      </c>
      <c r="AH45" s="76" t="inlineStr">
        <is>
          <t>Nan</t>
        </is>
      </c>
      <c r="AI45" s="76" t="inlineStr">
        <is>
          <t>Nan</t>
        </is>
      </c>
      <c r="AJ45" s="76" t="inlineStr">
        <is>
          <t>Nan</t>
        </is>
      </c>
      <c r="AK45" s="76" t="inlineStr">
        <is>
          <t>Nan</t>
        </is>
      </c>
      <c r="AL45" s="76" t="inlineStr">
        <is>
          <t>Nan</t>
        </is>
      </c>
      <c r="AM45" s="62" t="n">
        <v>2</v>
      </c>
      <c r="AN45" s="64" t="n">
        <v>1</v>
      </c>
      <c r="AO45" s="64" t="n">
        <v>1</v>
      </c>
      <c r="AP45" s="64" t="n">
        <v>4</v>
      </c>
      <c r="AQ45" s="64" t="n">
        <v>1</v>
      </c>
      <c r="AR45" s="64" t="n">
        <v>1</v>
      </c>
      <c r="AS45" s="62" t="n">
        <v>3</v>
      </c>
    </row>
    <row r="46" ht="18.75" customHeight="1">
      <c r="A46" s="10" t="inlineStr">
        <is>
          <t>JOUAV CW-25H</t>
        </is>
      </c>
      <c r="B46" s="76" t="inlineStr">
        <is>
          <t>Nan</t>
        </is>
      </c>
      <c r="C46" s="76" t="inlineStr">
        <is>
          <t>Nan</t>
        </is>
      </c>
      <c r="D46" s="75" t="n">
        <v>23.92</v>
      </c>
      <c r="E46" s="76" t="inlineStr">
        <is>
          <t>Nan</t>
        </is>
      </c>
      <c r="F46" s="76" t="inlineStr">
        <is>
          <t>Nan</t>
        </is>
      </c>
      <c r="G46" s="76" t="inlineStr">
        <is>
          <t>Nan</t>
        </is>
      </c>
      <c r="H46" s="76" t="inlineStr">
        <is>
          <t>Nan</t>
        </is>
      </c>
      <c r="I46" s="15" t="n">
        <v>2.1</v>
      </c>
      <c r="J46" s="76" t="inlineStr">
        <is>
          <t>Nan</t>
        </is>
      </c>
      <c r="K46" s="76" t="inlineStr">
        <is>
          <t>Nan</t>
        </is>
      </c>
      <c r="L46" s="17" t="n">
        <v>31</v>
      </c>
      <c r="M46" s="18" t="n">
        <v>435</v>
      </c>
      <c r="N46" s="18" t="n">
        <v>5.5</v>
      </c>
      <c r="O46" s="76" t="inlineStr">
        <is>
          <t>Nan</t>
        </is>
      </c>
      <c r="P46" s="76" t="inlineStr">
        <is>
          <t>Nan</t>
        </is>
      </c>
      <c r="Q46" s="76" t="inlineStr">
        <is>
          <t>Nan</t>
        </is>
      </c>
      <c r="R46" s="76" t="inlineStr">
        <is>
          <t>Nan</t>
        </is>
      </c>
      <c r="S46" s="19" t="n">
        <v>4.4</v>
      </c>
      <c r="T46" s="76" t="inlineStr">
        <is>
          <t>Nan</t>
        </is>
      </c>
      <c r="U46" s="19" t="n">
        <v>4</v>
      </c>
      <c r="V46" s="76" t="inlineStr">
        <is>
          <t>Nan</t>
        </is>
      </c>
      <c r="W46" s="19" t="n">
        <v>22.2</v>
      </c>
      <c r="X46" s="76" t="inlineStr">
        <is>
          <t>Nan</t>
        </is>
      </c>
      <c r="Y46" s="76" t="inlineStr">
        <is>
          <t>Nan</t>
        </is>
      </c>
      <c r="Z46" s="76" t="inlineStr">
        <is>
          <t>Nan</t>
        </is>
      </c>
      <c r="AA46" s="83" t="n">
        <v>27</v>
      </c>
      <c r="AB46" s="76" t="inlineStr">
        <is>
          <t>Nan</t>
        </is>
      </c>
      <c r="AC46" s="76" t="inlineStr">
        <is>
          <t>Nan</t>
        </is>
      </c>
      <c r="AD46" s="19" t="n">
        <v>100</v>
      </c>
      <c r="AE46" s="76" t="inlineStr">
        <is>
          <t>Nan</t>
        </is>
      </c>
      <c r="AF46" s="76" t="inlineStr">
        <is>
          <t>Nan</t>
        </is>
      </c>
      <c r="AG46" s="76" t="inlineStr">
        <is>
          <t>Nan</t>
        </is>
      </c>
      <c r="AH46" s="76" t="inlineStr">
        <is>
          <t>Nan</t>
        </is>
      </c>
      <c r="AI46" s="76" t="inlineStr">
        <is>
          <t>Nan</t>
        </is>
      </c>
      <c r="AJ46" s="76" t="inlineStr">
        <is>
          <t>Nan</t>
        </is>
      </c>
      <c r="AK46" s="76" t="inlineStr">
        <is>
          <t>Nan</t>
        </is>
      </c>
      <c r="AL46" s="76" t="inlineStr">
        <is>
          <t>Nan</t>
        </is>
      </c>
      <c r="AM46" s="62" t="n">
        <v>2</v>
      </c>
      <c r="AN46" s="64" t="n">
        <v>4</v>
      </c>
      <c r="AO46" s="64" t="n">
        <v>1</v>
      </c>
      <c r="AP46" s="64" t="n">
        <v>4</v>
      </c>
      <c r="AQ46" s="64" t="n">
        <v>1</v>
      </c>
      <c r="AR46" s="64" t="n">
        <v>1</v>
      </c>
      <c r="AS46" s="62" t="n">
        <v>3</v>
      </c>
    </row>
    <row r="47" ht="18.75" customHeight="1">
      <c r="A47" s="10" t="inlineStr">
        <is>
          <t xml:space="preserve">JOUAV CW-25 </t>
        </is>
      </c>
      <c r="B47" s="13" t="inlineStr">
        <is>
          <t>Nan</t>
        </is>
      </c>
      <c r="C47" s="13" t="inlineStr">
        <is>
          <t>Nan</t>
        </is>
      </c>
      <c r="D47" s="13" t="inlineStr">
        <is>
          <t>Nan</t>
        </is>
      </c>
      <c r="E47" s="13" t="n">
        <v>22000</v>
      </c>
      <c r="F47" s="13" t="inlineStr">
        <is>
          <t>Nan</t>
        </is>
      </c>
      <c r="G47" s="15" t="inlineStr">
        <is>
          <t>Nan</t>
        </is>
      </c>
      <c r="H47" s="15" t="inlineStr">
        <is>
          <t>Nan</t>
        </is>
      </c>
      <c r="I47" s="15" t="inlineStr">
        <is>
          <t>Nan</t>
        </is>
      </c>
      <c r="J47" s="15" t="inlineStr">
        <is>
          <t>Nan</t>
        </is>
      </c>
      <c r="K47" s="15" t="inlineStr">
        <is>
          <t>Nan</t>
        </is>
      </c>
      <c r="L47" s="17" t="n">
        <v>29.5</v>
      </c>
      <c r="M47" s="18" t="inlineStr">
        <is>
          <t>Nan</t>
        </is>
      </c>
      <c r="N47" s="18" t="n">
        <v>6</v>
      </c>
      <c r="O47" s="18" t="inlineStr">
        <is>
          <t>Nan</t>
        </is>
      </c>
      <c r="P47" s="18" t="inlineStr">
        <is>
          <t>Nan</t>
        </is>
      </c>
      <c r="Q47" s="18" t="inlineStr">
        <is>
          <t>Nan</t>
        </is>
      </c>
      <c r="R47" s="18" t="inlineStr">
        <is>
          <t>Nan</t>
        </is>
      </c>
      <c r="S47" s="19" t="inlineStr">
        <is>
          <t>Nan</t>
        </is>
      </c>
      <c r="T47" s="19" t="inlineStr">
        <is>
          <t>Nan</t>
        </is>
      </c>
      <c r="U47" s="19" t="n">
        <v>6</v>
      </c>
      <c r="V47" s="19" t="inlineStr">
        <is>
          <t>Nan</t>
        </is>
      </c>
      <c r="W47" s="19" t="n">
        <v>23</v>
      </c>
      <c r="X47" s="19" t="inlineStr">
        <is>
          <t>Nan</t>
        </is>
      </c>
      <c r="Y47" s="19" t="inlineStr">
        <is>
          <t>Nan</t>
        </is>
      </c>
      <c r="Z47" s="19" t="inlineStr">
        <is>
          <t>Nan</t>
        </is>
      </c>
      <c r="AA47" s="19" t="inlineStr">
        <is>
          <t>Nan</t>
        </is>
      </c>
      <c r="AB47" s="19" t="inlineStr">
        <is>
          <t>Nan</t>
        </is>
      </c>
      <c r="AC47" s="19" t="inlineStr">
        <is>
          <t>Nan</t>
        </is>
      </c>
      <c r="AD47" s="19" t="n">
        <v>200</v>
      </c>
      <c r="AE47" s="19" t="inlineStr">
        <is>
          <t>Nan</t>
        </is>
      </c>
      <c r="AF47" s="19" t="inlineStr">
        <is>
          <t>Nan</t>
        </is>
      </c>
      <c r="AG47" s="19" t="inlineStr">
        <is>
          <t>Nan</t>
        </is>
      </c>
      <c r="AH47" s="19" t="inlineStr">
        <is>
          <t>Nan</t>
        </is>
      </c>
      <c r="AI47" s="19" t="inlineStr">
        <is>
          <t>Nan</t>
        </is>
      </c>
      <c r="AJ47" s="19" t="inlineStr">
        <is>
          <t>Nan</t>
        </is>
      </c>
      <c r="AK47" s="19" t="inlineStr">
        <is>
          <t>Nan</t>
        </is>
      </c>
      <c r="AL47" s="19" t="inlineStr">
        <is>
          <t>Nan</t>
        </is>
      </c>
      <c r="AM47" s="62" t="n">
        <v>2</v>
      </c>
      <c r="AN47" s="64" t="n">
        <v>2</v>
      </c>
      <c r="AO47" s="64" t="n">
        <v>1</v>
      </c>
      <c r="AP47" s="64" t="n">
        <v>4</v>
      </c>
      <c r="AQ47" s="64" t="n">
        <v>1</v>
      </c>
      <c r="AR47" s="64" t="n">
        <v>1</v>
      </c>
      <c r="AS47" s="62" t="n">
        <v>3</v>
      </c>
    </row>
    <row r="48" ht="18.75" customHeight="1">
      <c r="A48" s="10" t="inlineStr">
        <is>
          <t>JOUAV CW-30E</t>
        </is>
      </c>
      <c r="B48" s="76" t="inlineStr">
        <is>
          <t>Nan</t>
        </is>
      </c>
      <c r="C48" s="76" t="inlineStr">
        <is>
          <t>Nan</t>
        </is>
      </c>
      <c r="D48" s="75" t="n">
        <v>26.93</v>
      </c>
      <c r="E48" s="13" t="n">
        <v>20000</v>
      </c>
      <c r="F48" s="76" t="inlineStr">
        <is>
          <t>Nan</t>
        </is>
      </c>
      <c r="G48" s="76" t="inlineStr">
        <is>
          <t>Nan</t>
        </is>
      </c>
      <c r="H48" s="76" t="inlineStr">
        <is>
          <t>Nan</t>
        </is>
      </c>
      <c r="I48" s="15" t="n">
        <v>2.3</v>
      </c>
      <c r="J48" s="76" t="inlineStr">
        <is>
          <t>Nan</t>
        </is>
      </c>
      <c r="K48" s="76" t="inlineStr">
        <is>
          <t>Nan</t>
        </is>
      </c>
      <c r="L48" s="17" t="n">
        <v>38</v>
      </c>
      <c r="M48" s="85" t="n">
        <v>720</v>
      </c>
      <c r="N48" s="18" t="n">
        <v>8</v>
      </c>
      <c r="O48" s="76" t="inlineStr">
        <is>
          <t>Nan</t>
        </is>
      </c>
      <c r="P48" s="76" t="inlineStr">
        <is>
          <t>Nan</t>
        </is>
      </c>
      <c r="Q48" s="76" t="inlineStr">
        <is>
          <t>Nan</t>
        </is>
      </c>
      <c r="R48" s="76" t="inlineStr">
        <is>
          <t>Nan</t>
        </is>
      </c>
      <c r="S48" s="19" t="n">
        <v>4.4</v>
      </c>
      <c r="T48" s="76" t="inlineStr">
        <is>
          <t>Nan</t>
        </is>
      </c>
      <c r="U48" s="19" t="n">
        <v>10</v>
      </c>
      <c r="V48" s="76" t="inlineStr">
        <is>
          <t>Nan</t>
        </is>
      </c>
      <c r="W48" s="19" t="n">
        <v>25</v>
      </c>
      <c r="X48" s="76" t="inlineStr">
        <is>
          <t>Nan</t>
        </is>
      </c>
      <c r="Y48" s="76" t="inlineStr">
        <is>
          <t>Nan</t>
        </is>
      </c>
      <c r="Z48" s="76" t="inlineStr">
        <is>
          <t>Nan</t>
        </is>
      </c>
      <c r="AA48" s="83" t="n">
        <v>28</v>
      </c>
      <c r="AB48" s="76" t="inlineStr">
        <is>
          <t>Nan</t>
        </is>
      </c>
      <c r="AC48" s="76" t="inlineStr">
        <is>
          <t>Nan</t>
        </is>
      </c>
      <c r="AD48" s="19" t="n">
        <v>200</v>
      </c>
      <c r="AE48" s="76" t="inlineStr">
        <is>
          <t>Nan</t>
        </is>
      </c>
      <c r="AF48" s="76" t="inlineStr">
        <is>
          <t>Nan</t>
        </is>
      </c>
      <c r="AG48" s="76" t="inlineStr">
        <is>
          <t>Nan</t>
        </is>
      </c>
      <c r="AH48" s="76" t="inlineStr">
        <is>
          <t>Nan</t>
        </is>
      </c>
      <c r="AI48" s="76" t="inlineStr">
        <is>
          <t>Nan</t>
        </is>
      </c>
      <c r="AJ48" s="76" t="inlineStr">
        <is>
          <t>Nan</t>
        </is>
      </c>
      <c r="AK48" s="76" t="inlineStr">
        <is>
          <t>Nan</t>
        </is>
      </c>
      <c r="AL48" s="76" t="inlineStr">
        <is>
          <t>Nan</t>
        </is>
      </c>
      <c r="AM48" s="62" t="n">
        <v>2</v>
      </c>
      <c r="AN48" s="64" t="n">
        <v>1</v>
      </c>
      <c r="AO48" s="64" t="n">
        <v>4</v>
      </c>
      <c r="AP48" s="64" t="n">
        <v>4</v>
      </c>
      <c r="AQ48" s="64" t="n">
        <v>1</v>
      </c>
      <c r="AR48" s="64" t="n">
        <v>1</v>
      </c>
      <c r="AS48" s="62" t="n">
        <v>3</v>
      </c>
    </row>
    <row r="49" ht="18.75" customHeight="1">
      <c r="A49" s="10" t="inlineStr">
        <is>
          <t>JOUAV CW-80E</t>
        </is>
      </c>
      <c r="B49" s="76" t="inlineStr">
        <is>
          <t>Nan</t>
        </is>
      </c>
      <c r="C49" s="76" t="inlineStr">
        <is>
          <t>Nan</t>
        </is>
      </c>
      <c r="D49" s="75" t="n">
        <v>35.87</v>
      </c>
      <c r="E49" s="13" t="n">
        <v>20000</v>
      </c>
      <c r="F49" s="76" t="inlineStr">
        <is>
          <t>Nan</t>
        </is>
      </c>
      <c r="G49" s="76" t="inlineStr">
        <is>
          <t>Nan</t>
        </is>
      </c>
      <c r="H49" s="76" t="inlineStr">
        <is>
          <t>Nan</t>
        </is>
      </c>
      <c r="I49" s="15" t="n">
        <v>3</v>
      </c>
      <c r="J49" s="76" t="inlineStr">
        <is>
          <t>Nan</t>
        </is>
      </c>
      <c r="K49" s="76" t="inlineStr">
        <is>
          <t>Nan</t>
        </is>
      </c>
      <c r="L49" s="17" t="n">
        <v>110</v>
      </c>
      <c r="M49" s="85" t="n">
        <v>1198.8</v>
      </c>
      <c r="N49" s="18" t="n">
        <v>10</v>
      </c>
      <c r="O49" s="18" t="n">
        <v>37.5</v>
      </c>
      <c r="P49" s="76" t="inlineStr">
        <is>
          <t>Nan</t>
        </is>
      </c>
      <c r="Q49" s="76" t="inlineStr">
        <is>
          <t>Nan</t>
        </is>
      </c>
      <c r="R49" s="76" t="inlineStr">
        <is>
          <t>Nan</t>
        </is>
      </c>
      <c r="S49" s="19" t="n">
        <v>5.2</v>
      </c>
      <c r="T49" s="76" t="inlineStr">
        <is>
          <t>Nan</t>
        </is>
      </c>
      <c r="U49" s="19" t="n">
        <v>25</v>
      </c>
      <c r="V49" s="76" t="inlineStr">
        <is>
          <t>Nan</t>
        </is>
      </c>
      <c r="W49" s="19" t="n">
        <v>33.3</v>
      </c>
      <c r="X49" s="76" t="inlineStr">
        <is>
          <t>Nan</t>
        </is>
      </c>
      <c r="Y49" s="76" t="inlineStr">
        <is>
          <t>Nan</t>
        </is>
      </c>
      <c r="Z49" s="76" t="inlineStr">
        <is>
          <t>Nan</t>
        </is>
      </c>
      <c r="AA49" s="83" t="n">
        <v>85</v>
      </c>
      <c r="AB49" s="76" t="inlineStr">
        <is>
          <t>Nan</t>
        </is>
      </c>
      <c r="AC49" s="19" t="n">
        <v>17</v>
      </c>
      <c r="AD49" s="19" t="n">
        <v>200</v>
      </c>
      <c r="AE49" s="76" t="inlineStr">
        <is>
          <t>Nan</t>
        </is>
      </c>
      <c r="AF49" s="76" t="inlineStr">
        <is>
          <t>Nan</t>
        </is>
      </c>
      <c r="AG49" s="76" t="inlineStr">
        <is>
          <t>Nan</t>
        </is>
      </c>
      <c r="AH49" s="76" t="inlineStr">
        <is>
          <t>Nan</t>
        </is>
      </c>
      <c r="AI49" s="76" t="inlineStr">
        <is>
          <t>Nan</t>
        </is>
      </c>
      <c r="AJ49" s="76" t="inlineStr">
        <is>
          <t>Nan</t>
        </is>
      </c>
      <c r="AK49" s="76" t="inlineStr">
        <is>
          <t>Nan</t>
        </is>
      </c>
      <c r="AL49" s="76" t="inlineStr">
        <is>
          <t>Nan</t>
        </is>
      </c>
      <c r="AM49" s="62" t="n">
        <v>2</v>
      </c>
      <c r="AN49" s="64" t="n">
        <v>1</v>
      </c>
      <c r="AO49" s="64" t="n">
        <v>2</v>
      </c>
      <c r="AP49" s="64" t="n">
        <v>4</v>
      </c>
      <c r="AQ49" s="64" t="n">
        <v>1</v>
      </c>
      <c r="AR49" s="64" t="n">
        <v>1</v>
      </c>
      <c r="AS49" s="62" t="n">
        <v>3</v>
      </c>
    </row>
    <row r="50" ht="18.75" customHeight="1">
      <c r="A50" s="10" t="inlineStr">
        <is>
          <t>L3Harris FVR–90</t>
        </is>
      </c>
      <c r="B50" s="74" t="inlineStr">
        <is>
          <t>Nan</t>
        </is>
      </c>
      <c r="C50" s="76" t="inlineStr">
        <is>
          <t>Nan</t>
        </is>
      </c>
      <c r="D50" s="75" t="n">
        <v>27.69</v>
      </c>
      <c r="E50" s="76" t="inlineStr">
        <is>
          <t>Nan</t>
        </is>
      </c>
      <c r="F50" s="76" t="inlineStr">
        <is>
          <t>Nan</t>
        </is>
      </c>
      <c r="G50" s="76" t="inlineStr">
        <is>
          <t>Nan</t>
        </is>
      </c>
      <c r="H50" s="76" t="inlineStr">
        <is>
          <t>Nan</t>
        </is>
      </c>
      <c r="I50" s="76" t="inlineStr">
        <is>
          <t>Nan</t>
        </is>
      </c>
      <c r="J50" s="76" t="inlineStr">
        <is>
          <t>Nan</t>
        </is>
      </c>
      <c r="K50" s="76" t="inlineStr">
        <is>
          <t>Nan</t>
        </is>
      </c>
      <c r="L50" s="17" t="n">
        <v>54.4</v>
      </c>
      <c r="M50" s="18" t="n">
        <v>1500</v>
      </c>
      <c r="N50" s="18" t="n">
        <v>16</v>
      </c>
      <c r="O50" s="18" t="n">
        <v>33.4</v>
      </c>
      <c r="P50" s="76" t="inlineStr">
        <is>
          <t>Nan</t>
        </is>
      </c>
      <c r="Q50" s="76" t="inlineStr">
        <is>
          <t>Nan</t>
        </is>
      </c>
      <c r="R50" s="76" t="inlineStr">
        <is>
          <t>Nan</t>
        </is>
      </c>
      <c r="S50" s="19" t="n">
        <v>4.7</v>
      </c>
      <c r="T50" s="76" t="inlineStr">
        <is>
          <t>Nan</t>
        </is>
      </c>
      <c r="U50" s="19" t="n">
        <v>10</v>
      </c>
      <c r="V50" s="76" t="inlineStr">
        <is>
          <t>Nan</t>
        </is>
      </c>
      <c r="W50" s="19" t="n">
        <v>25.7</v>
      </c>
      <c r="X50" s="76" t="inlineStr">
        <is>
          <t>Nan</t>
        </is>
      </c>
      <c r="Y50" s="76" t="inlineStr">
        <is>
          <t>Nan</t>
        </is>
      </c>
      <c r="Z50" s="19" t="n">
        <v>31.75</v>
      </c>
      <c r="AA50" s="83" t="n">
        <v>44.4</v>
      </c>
      <c r="AB50" s="76" t="inlineStr">
        <is>
          <t>Nan</t>
        </is>
      </c>
      <c r="AC50" s="76" t="inlineStr">
        <is>
          <t>Nan</t>
        </is>
      </c>
      <c r="AD50" s="19" t="n">
        <v>100</v>
      </c>
      <c r="AE50" s="76" t="inlineStr">
        <is>
          <t>Nan</t>
        </is>
      </c>
      <c r="AF50" s="76" t="inlineStr">
        <is>
          <t>Nan</t>
        </is>
      </c>
      <c r="AG50" s="76" t="inlineStr">
        <is>
          <t>Nan</t>
        </is>
      </c>
      <c r="AH50" s="76" t="inlineStr">
        <is>
          <t>Nan</t>
        </is>
      </c>
      <c r="AI50" s="76" t="inlineStr">
        <is>
          <t>Nan</t>
        </is>
      </c>
      <c r="AJ50" s="76" t="inlineStr">
        <is>
          <t>Nan</t>
        </is>
      </c>
      <c r="AK50" s="76" t="inlineStr">
        <is>
          <t>Nan</t>
        </is>
      </c>
      <c r="AL50" s="76" t="inlineStr">
        <is>
          <t>Nan</t>
        </is>
      </c>
      <c r="AM50" s="62" t="n">
        <v>2</v>
      </c>
      <c r="AN50" s="64" t="n">
        <v>1</v>
      </c>
      <c r="AO50" s="64" t="n">
        <v>2</v>
      </c>
      <c r="AP50" s="64" t="n">
        <v>4</v>
      </c>
      <c r="AQ50" s="64" t="n">
        <v>1</v>
      </c>
      <c r="AR50" s="64" t="n">
        <v>1</v>
      </c>
      <c r="AS50" s="62" t="n">
        <v>1</v>
      </c>
    </row>
    <row r="51" ht="18.75" customHeight="1">
      <c r="A51" s="10" t="inlineStr">
        <is>
          <t>SwoopAero Kite™</t>
        </is>
      </c>
      <c r="B51" s="76" t="inlineStr">
        <is>
          <t>Nan</t>
        </is>
      </c>
      <c r="C51" s="76" t="inlineStr">
        <is>
          <t>Nan</t>
        </is>
      </c>
      <c r="D51" s="75" t="n">
        <v>36.41</v>
      </c>
      <c r="E51" s="13" t="n">
        <v>10000</v>
      </c>
      <c r="F51" s="82" t="n">
        <v>15.06795842261387</v>
      </c>
      <c r="G51" s="76" t="inlineStr">
        <is>
          <t>Nan</t>
        </is>
      </c>
      <c r="H51" s="76" t="inlineStr">
        <is>
          <t>Nan</t>
        </is>
      </c>
      <c r="I51" s="76" t="inlineStr">
        <is>
          <t>Nan</t>
        </is>
      </c>
      <c r="J51" s="76" t="inlineStr">
        <is>
          <t>Nan</t>
        </is>
      </c>
      <c r="K51" s="76" t="inlineStr">
        <is>
          <t>Nan</t>
        </is>
      </c>
      <c r="L51" s="17" t="n">
        <v>24.9</v>
      </c>
      <c r="M51" s="18" t="n">
        <v>225</v>
      </c>
      <c r="N51" s="85" t="n">
        <v>1.85</v>
      </c>
      <c r="O51" s="18" t="n">
        <v>55.5</v>
      </c>
      <c r="P51" s="76" t="inlineStr">
        <is>
          <t>Nan</t>
        </is>
      </c>
      <c r="Q51" s="76" t="inlineStr">
        <is>
          <t>Nan</t>
        </is>
      </c>
      <c r="R51" s="76" t="inlineStr">
        <is>
          <t>Nan</t>
        </is>
      </c>
      <c r="S51" s="19" t="n">
        <v>2.7</v>
      </c>
      <c r="T51" s="76" t="inlineStr">
        <is>
          <t>Nan</t>
        </is>
      </c>
      <c r="U51" s="76" t="inlineStr">
        <is>
          <t>Nan</t>
        </is>
      </c>
      <c r="V51" s="76" t="inlineStr">
        <is>
          <t>Nan</t>
        </is>
      </c>
      <c r="W51" s="19" t="n">
        <v>33.8</v>
      </c>
      <c r="X51" s="76" t="inlineStr">
        <is>
          <t>Nan</t>
        </is>
      </c>
      <c r="Y51" s="76" t="inlineStr">
        <is>
          <t>Nan</t>
        </is>
      </c>
      <c r="Z51" s="76" t="inlineStr">
        <is>
          <t>Nan</t>
        </is>
      </c>
      <c r="AA51" s="76" t="inlineStr">
        <is>
          <t>Nan</t>
        </is>
      </c>
      <c r="AB51" s="76" t="inlineStr">
        <is>
          <t>Nan</t>
        </is>
      </c>
      <c r="AC51" s="76" t="inlineStr">
        <is>
          <t>Nan</t>
        </is>
      </c>
      <c r="AD51" s="76" t="inlineStr">
        <is>
          <t>Nan</t>
        </is>
      </c>
      <c r="AE51" s="76" t="inlineStr">
        <is>
          <t>Nan</t>
        </is>
      </c>
      <c r="AF51" s="76" t="inlineStr">
        <is>
          <t>Nan</t>
        </is>
      </c>
      <c r="AG51" s="76" t="inlineStr">
        <is>
          <t>Nan</t>
        </is>
      </c>
      <c r="AH51" s="76" t="inlineStr">
        <is>
          <t>Nan</t>
        </is>
      </c>
      <c r="AI51" s="76" t="inlineStr">
        <is>
          <t>Nan</t>
        </is>
      </c>
      <c r="AJ51" s="76" t="inlineStr">
        <is>
          <t>Nan</t>
        </is>
      </c>
      <c r="AK51" s="76" t="inlineStr">
        <is>
          <t>Nan</t>
        </is>
      </c>
      <c r="AL51" s="76" t="inlineStr">
        <is>
          <t>Nan</t>
        </is>
      </c>
      <c r="AM51" s="62" t="n">
        <v>2</v>
      </c>
      <c r="AN51" s="64" t="n">
        <v>1</v>
      </c>
      <c r="AO51" s="64" t="n">
        <v>1</v>
      </c>
      <c r="AP51" s="64" t="n">
        <v>4</v>
      </c>
      <c r="AQ51" s="64" t="n">
        <v>2</v>
      </c>
      <c r="AR51" s="64" t="n">
        <v>1</v>
      </c>
      <c r="AS51" s="62" t="n">
        <v>3</v>
      </c>
    </row>
    <row r="52" ht="18.75" customHeight="1">
      <c r="A52" s="60" t="inlineStr">
        <is>
          <t>YANGDA Sky Whale Heavy Lift Long Endurance Electric VTOL Drone</t>
        </is>
      </c>
      <c r="B52" s="76" t="inlineStr">
        <is>
          <t>Nan</t>
        </is>
      </c>
      <c r="C52" s="76" t="inlineStr">
        <is>
          <t>Nan</t>
        </is>
      </c>
      <c r="D52" s="75" t="n">
        <v>26.93</v>
      </c>
      <c r="E52" s="13" t="n">
        <v>15000</v>
      </c>
      <c r="F52" s="13" t="n">
        <v>16</v>
      </c>
      <c r="G52" s="76" t="inlineStr">
        <is>
          <t>Nan</t>
        </is>
      </c>
      <c r="H52" s="76" t="inlineStr">
        <is>
          <t>Nan</t>
        </is>
      </c>
      <c r="I52" s="76" t="inlineStr">
        <is>
          <t>Nan</t>
        </is>
      </c>
      <c r="J52" s="76" t="inlineStr">
        <is>
          <t>Nan</t>
        </is>
      </c>
      <c r="K52" s="76" t="inlineStr">
        <is>
          <t>Nan</t>
        </is>
      </c>
      <c r="L52" s="17" t="n">
        <v>34</v>
      </c>
      <c r="M52" s="85" t="n">
        <v>315</v>
      </c>
      <c r="N52" s="18" t="n">
        <v>3.5</v>
      </c>
      <c r="O52" s="18" t="n">
        <v>33.5</v>
      </c>
      <c r="P52" s="82" t="n">
        <v>16</v>
      </c>
      <c r="Q52" s="18" t="n">
        <v>4</v>
      </c>
      <c r="R52" s="76" t="inlineStr">
        <is>
          <t>Nan</t>
        </is>
      </c>
      <c r="S52" s="76" t="inlineStr">
        <is>
          <t>Nan</t>
        </is>
      </c>
      <c r="T52" s="76" t="inlineStr">
        <is>
          <t>Nan</t>
        </is>
      </c>
      <c r="U52" s="19" t="n">
        <v>10</v>
      </c>
      <c r="V52" s="76" t="inlineStr">
        <is>
          <t>Nan</t>
        </is>
      </c>
      <c r="W52" s="19" t="n">
        <v>25</v>
      </c>
      <c r="X52" s="76" t="inlineStr">
        <is>
          <t>Nan</t>
        </is>
      </c>
      <c r="Y52" s="19" t="n">
        <v>7.45</v>
      </c>
      <c r="Z52" s="19" t="n">
        <v>16</v>
      </c>
      <c r="AA52" s="83" t="n">
        <v>24</v>
      </c>
      <c r="AB52" s="76" t="inlineStr">
        <is>
          <t>Nan</t>
        </is>
      </c>
      <c r="AC52" s="76" t="inlineStr">
        <is>
          <t>Nan</t>
        </is>
      </c>
      <c r="AD52" s="76" t="inlineStr">
        <is>
          <t>Nan</t>
        </is>
      </c>
      <c r="AE52" s="76" t="inlineStr">
        <is>
          <t>Nan</t>
        </is>
      </c>
      <c r="AF52" s="76" t="inlineStr">
        <is>
          <t>Nan</t>
        </is>
      </c>
      <c r="AG52" s="76" t="inlineStr">
        <is>
          <t>Nan</t>
        </is>
      </c>
      <c r="AH52" s="76" t="inlineStr">
        <is>
          <t>Nan</t>
        </is>
      </c>
      <c r="AI52" s="76" t="inlineStr">
        <is>
          <t>Nan</t>
        </is>
      </c>
      <c r="AJ52" s="76" t="inlineStr">
        <is>
          <t>Nan</t>
        </is>
      </c>
      <c r="AK52" s="76" t="inlineStr">
        <is>
          <t>Nan</t>
        </is>
      </c>
      <c r="AL52" s="76" t="inlineStr">
        <is>
          <t>Nan</t>
        </is>
      </c>
      <c r="AM52" s="62" t="n">
        <v>2</v>
      </c>
      <c r="AN52" s="64" t="n">
        <v>1</v>
      </c>
      <c r="AO52" s="64" t="n">
        <v>1</v>
      </c>
      <c r="AP52" s="64" t="n">
        <v>4</v>
      </c>
      <c r="AQ52" s="64" t="n">
        <v>1</v>
      </c>
      <c r="AR52" s="64" t="n">
        <v>1</v>
      </c>
      <c r="AS52" s="62" t="n">
        <v>3</v>
      </c>
    </row>
    <row r="53" ht="18.75" customHeight="1">
      <c r="A53" s="60" t="inlineStr">
        <is>
          <t>YANGDA Sky Whale Max Electric Heavy Lift Long Endurance VTOL Drone</t>
        </is>
      </c>
      <c r="B53" s="74" t="inlineStr">
        <is>
          <t>Nan</t>
        </is>
      </c>
      <c r="C53" s="74" t="inlineStr">
        <is>
          <t>Nan</t>
        </is>
      </c>
      <c r="D53" s="75" t="n">
        <v>26.93</v>
      </c>
      <c r="E53" s="14" t="n">
        <v>15000</v>
      </c>
      <c r="F53" s="13" t="n">
        <v>16</v>
      </c>
      <c r="G53" s="76" t="inlineStr">
        <is>
          <t>Nan</t>
        </is>
      </c>
      <c r="H53" s="76" t="inlineStr">
        <is>
          <t>Nan</t>
        </is>
      </c>
      <c r="I53" s="76" t="inlineStr">
        <is>
          <t>Nan</t>
        </is>
      </c>
      <c r="J53" s="76" t="inlineStr">
        <is>
          <t>Nan</t>
        </is>
      </c>
      <c r="K53" s="76" t="inlineStr">
        <is>
          <t>Nan</t>
        </is>
      </c>
      <c r="L53" s="17" t="n">
        <v>68</v>
      </c>
      <c r="M53" s="85" t="n">
        <v>360</v>
      </c>
      <c r="N53" s="18" t="n">
        <v>4</v>
      </c>
      <c r="O53" s="18" t="n">
        <v>36.1</v>
      </c>
      <c r="P53" s="82" t="n">
        <v>16</v>
      </c>
      <c r="Q53" s="18" t="n">
        <v>4</v>
      </c>
      <c r="R53" s="76" t="inlineStr">
        <is>
          <t>Nan</t>
        </is>
      </c>
      <c r="S53" s="76" t="inlineStr">
        <is>
          <t>Nan</t>
        </is>
      </c>
      <c r="T53" s="76" t="inlineStr">
        <is>
          <t>Nan</t>
        </is>
      </c>
      <c r="U53" s="19" t="n">
        <v>20</v>
      </c>
      <c r="V53" s="76" t="inlineStr">
        <is>
          <t>Nan</t>
        </is>
      </c>
      <c r="W53" s="19" t="n">
        <v>25</v>
      </c>
      <c r="X53" s="76" t="inlineStr">
        <is>
          <t>Nan</t>
        </is>
      </c>
      <c r="Y53" s="76" t="inlineStr">
        <is>
          <t>Nan</t>
        </is>
      </c>
      <c r="Z53" s="19" t="n">
        <v>32</v>
      </c>
      <c r="AA53" s="83" t="n">
        <v>48</v>
      </c>
      <c r="AB53" s="76" t="inlineStr">
        <is>
          <t>Nan</t>
        </is>
      </c>
      <c r="AC53" s="76" t="inlineStr">
        <is>
          <t>Nan</t>
        </is>
      </c>
      <c r="AD53" s="76" t="inlineStr">
        <is>
          <t>Nan</t>
        </is>
      </c>
      <c r="AE53" s="76" t="inlineStr">
        <is>
          <t>Nan</t>
        </is>
      </c>
      <c r="AF53" s="76" t="inlineStr">
        <is>
          <t>Nan</t>
        </is>
      </c>
      <c r="AG53" s="76" t="inlineStr">
        <is>
          <t>Nan</t>
        </is>
      </c>
      <c r="AH53" s="76" t="inlineStr">
        <is>
          <t>Nan</t>
        </is>
      </c>
      <c r="AI53" s="76" t="inlineStr">
        <is>
          <t>Nan</t>
        </is>
      </c>
      <c r="AJ53" s="76" t="inlineStr">
        <is>
          <t>Nan</t>
        </is>
      </c>
      <c r="AK53" s="76" t="inlineStr">
        <is>
          <t>Nan</t>
        </is>
      </c>
      <c r="AL53" s="76" t="inlineStr">
        <is>
          <t>Nan</t>
        </is>
      </c>
      <c r="AM53" s="62" t="n">
        <v>2</v>
      </c>
      <c r="AN53" s="64" t="n">
        <v>1</v>
      </c>
      <c r="AO53" s="64" t="n">
        <v>1</v>
      </c>
      <c r="AP53" s="64" t="n">
        <v>4</v>
      </c>
      <c r="AQ53" s="64" t="n">
        <v>1</v>
      </c>
      <c r="AR53" s="64" t="n">
        <v>1</v>
      </c>
      <c r="AS53" s="62" t="n">
        <v>3</v>
      </c>
    </row>
    <row r="54" ht="18.75" customHeight="1">
      <c r="A54" s="60" t="inlineStr">
        <is>
          <t>YANGDA Sky Whale Max Hybrid Heavy Lift Long Endurance VTOL Drone</t>
        </is>
      </c>
      <c r="B54" s="74" t="inlineStr">
        <is>
          <t>Nan</t>
        </is>
      </c>
      <c r="C54" s="74" t="inlineStr">
        <is>
          <t>Nan</t>
        </is>
      </c>
      <c r="D54" s="87" t="n">
        <v>26.93</v>
      </c>
      <c r="E54" s="87" t="n">
        <v>9700</v>
      </c>
      <c r="F54" s="74" t="inlineStr">
        <is>
          <t>Nan</t>
        </is>
      </c>
      <c r="G54" s="88" t="n">
        <v>1.55</v>
      </c>
      <c r="H54" s="99" t="n">
        <v>12.5</v>
      </c>
      <c r="I54" s="15" t="n">
        <v>2.58</v>
      </c>
      <c r="J54" s="76" t="inlineStr">
        <is>
          <t>Nan</t>
        </is>
      </c>
      <c r="K54" s="88" t="n">
        <v>0.277</v>
      </c>
      <c r="L54" s="17" t="n">
        <v>65</v>
      </c>
      <c r="M54" s="88" t="n">
        <v>1080</v>
      </c>
      <c r="N54" s="18" t="n">
        <v>10</v>
      </c>
      <c r="O54" s="88" t="n">
        <v>33.43886</v>
      </c>
      <c r="P54" s="76" t="inlineStr">
        <is>
          <t>Nan</t>
        </is>
      </c>
      <c r="Q54" s="76" t="inlineStr">
        <is>
          <t>Nan</t>
        </is>
      </c>
      <c r="R54" s="76" t="inlineStr">
        <is>
          <t>Nan</t>
        </is>
      </c>
      <c r="S54" s="92" t="n">
        <v>4.8</v>
      </c>
      <c r="T54" s="99" t="n">
        <v>0.352</v>
      </c>
      <c r="U54" s="88" t="n">
        <v>11.3</v>
      </c>
      <c r="V54" s="76" t="inlineStr">
        <is>
          <t>Nan</t>
        </is>
      </c>
      <c r="W54" s="76" t="inlineStr">
        <is>
          <t>Nan</t>
        </is>
      </c>
      <c r="X54" s="76" t="inlineStr">
        <is>
          <t>Nan</t>
        </is>
      </c>
      <c r="Y54" s="76" t="inlineStr">
        <is>
          <t>Nan</t>
        </is>
      </c>
      <c r="Z54" s="19" t="n">
        <v>37.5</v>
      </c>
      <c r="AA54" s="76" t="inlineStr">
        <is>
          <t>Nan</t>
        </is>
      </c>
      <c r="AB54" s="76" t="inlineStr">
        <is>
          <t>Nan</t>
        </is>
      </c>
      <c r="AC54" s="76" t="inlineStr">
        <is>
          <t>Nan</t>
        </is>
      </c>
      <c r="AD54" s="88" t="n">
        <v>140</v>
      </c>
      <c r="AE54" s="76" t="inlineStr">
        <is>
          <t>Nan</t>
        </is>
      </c>
      <c r="AF54" s="76" t="inlineStr">
        <is>
          <t>Nan</t>
        </is>
      </c>
      <c r="AG54" s="76" t="inlineStr">
        <is>
          <t>Nan</t>
        </is>
      </c>
      <c r="AH54" s="76" t="inlineStr">
        <is>
          <t>Nan</t>
        </is>
      </c>
      <c r="AI54" s="88" t="n">
        <v>2980</v>
      </c>
      <c r="AJ54" s="88" t="n">
        <v>4</v>
      </c>
      <c r="AK54" s="76" t="inlineStr">
        <is>
          <t>Nan</t>
        </is>
      </c>
      <c r="AL54" s="76" t="inlineStr">
        <is>
          <t>Nan</t>
        </is>
      </c>
      <c r="AM54" s="62" t="n">
        <v>2</v>
      </c>
      <c r="AN54" s="64" t="n">
        <v>1</v>
      </c>
      <c r="AO54" s="64" t="n">
        <v>2</v>
      </c>
      <c r="AP54" s="64" t="n">
        <v>4</v>
      </c>
      <c r="AQ54" s="64" t="n">
        <v>1</v>
      </c>
      <c r="AR54" s="64" t="n">
        <v>1</v>
      </c>
      <c r="AS54" s="62" t="n">
        <v>3</v>
      </c>
    </row>
    <row r="55" ht="18.75" customHeight="1">
      <c r="A55" s="60" t="inlineStr">
        <is>
          <t>YANGDA Sky Whale Mini Electric Long Endurance VTOL Drone</t>
        </is>
      </c>
      <c r="B55" s="76" t="inlineStr">
        <is>
          <t>Nan</t>
        </is>
      </c>
      <c r="C55" s="76" t="inlineStr">
        <is>
          <t>Nan</t>
        </is>
      </c>
      <c r="D55" s="75" t="n">
        <v>29.84</v>
      </c>
      <c r="E55" s="13" t="n">
        <v>11500</v>
      </c>
      <c r="F55" s="13" t="n">
        <v>16</v>
      </c>
      <c r="G55" s="76" t="inlineStr">
        <is>
          <t>Nan</t>
        </is>
      </c>
      <c r="H55" s="76" t="inlineStr">
        <is>
          <t>Nan</t>
        </is>
      </c>
      <c r="I55" s="15" t="n">
        <v>1.67</v>
      </c>
      <c r="J55" s="76" t="inlineStr">
        <is>
          <t>Nan</t>
        </is>
      </c>
      <c r="K55" s="76" t="inlineStr">
        <is>
          <t>Nan</t>
        </is>
      </c>
      <c r="L55" s="17" t="n">
        <v>18.5</v>
      </c>
      <c r="M55" s="85" t="n">
        <v>319.1</v>
      </c>
      <c r="N55" s="18" t="n">
        <v>3.2</v>
      </c>
      <c r="O55" s="18" t="n">
        <v>33.3</v>
      </c>
      <c r="P55" s="82" t="n">
        <v>16</v>
      </c>
      <c r="Q55" s="76" t="inlineStr">
        <is>
          <t>Nan</t>
        </is>
      </c>
      <c r="R55" s="76" t="inlineStr">
        <is>
          <t>Nan</t>
        </is>
      </c>
      <c r="S55" s="19" t="n">
        <v>3.378</v>
      </c>
      <c r="T55" s="76" t="inlineStr">
        <is>
          <t>Nan</t>
        </is>
      </c>
      <c r="U55" s="19" t="n">
        <v>8.5</v>
      </c>
      <c r="V55" s="76" t="inlineStr">
        <is>
          <t>Nan</t>
        </is>
      </c>
      <c r="W55" s="19" t="n">
        <v>27.7</v>
      </c>
      <c r="X55" s="19" t="n">
        <v>5.1</v>
      </c>
      <c r="Y55" s="76" t="inlineStr">
        <is>
          <t>Nan</t>
        </is>
      </c>
      <c r="Z55" s="19" t="n">
        <v>10</v>
      </c>
      <c r="AA55" s="83" t="n">
        <v>10</v>
      </c>
      <c r="AB55" s="76" t="inlineStr">
        <is>
          <t>Nan</t>
        </is>
      </c>
      <c r="AC55" s="76" t="inlineStr">
        <is>
          <t>Nan</t>
        </is>
      </c>
      <c r="AD55" s="76" t="inlineStr">
        <is>
          <t>Nan</t>
        </is>
      </c>
      <c r="AE55" s="76" t="inlineStr">
        <is>
          <t>Nan</t>
        </is>
      </c>
      <c r="AF55" s="76" t="inlineStr">
        <is>
          <t>Nan</t>
        </is>
      </c>
      <c r="AG55" s="76" t="inlineStr">
        <is>
          <t>Nan</t>
        </is>
      </c>
      <c r="AH55" s="76" t="inlineStr">
        <is>
          <t>Nan</t>
        </is>
      </c>
      <c r="AI55" s="76" t="inlineStr">
        <is>
          <t>Nan</t>
        </is>
      </c>
      <c r="AJ55" s="76" t="inlineStr">
        <is>
          <t>Nan</t>
        </is>
      </c>
      <c r="AK55" s="76" t="inlineStr">
        <is>
          <t>Nan</t>
        </is>
      </c>
      <c r="AL55" s="76" t="inlineStr">
        <is>
          <t>Nan</t>
        </is>
      </c>
      <c r="AM55" s="62" t="n">
        <v>2</v>
      </c>
      <c r="AN55" s="64" t="n">
        <v>1</v>
      </c>
      <c r="AO55" s="64" t="n">
        <v>1</v>
      </c>
      <c r="AP55" s="64" t="n">
        <v>4</v>
      </c>
      <c r="AQ55" s="64" t="n">
        <v>1</v>
      </c>
      <c r="AR55" s="64" t="n">
        <v>1</v>
      </c>
      <c r="AS55" s="62" t="n">
        <v>3</v>
      </c>
    </row>
    <row r="56" ht="18.75" customHeight="1">
      <c r="A56" s="10" t="inlineStr">
        <is>
          <t>DOOSAN DJ25</t>
        </is>
      </c>
      <c r="B56" s="76" t="inlineStr">
        <is>
          <t>Nan</t>
        </is>
      </c>
      <c r="C56" s="76" t="inlineStr">
        <is>
          <t>Nan</t>
        </is>
      </c>
      <c r="D56" s="75" t="n">
        <v>23.7</v>
      </c>
      <c r="E56" s="13" t="n">
        <v>19500</v>
      </c>
      <c r="F56" s="76" t="inlineStr">
        <is>
          <t>Nan</t>
        </is>
      </c>
      <c r="G56" s="76" t="inlineStr">
        <is>
          <t>Nan</t>
        </is>
      </c>
      <c r="H56" s="76" t="inlineStr">
        <is>
          <t>Nan</t>
        </is>
      </c>
      <c r="I56" s="15" t="n">
        <v>2.1</v>
      </c>
      <c r="J56" s="76" t="inlineStr">
        <is>
          <t>Nan</t>
        </is>
      </c>
      <c r="K56" s="76" t="inlineStr">
        <is>
          <t>Nan</t>
        </is>
      </c>
      <c r="L56" s="17" t="n">
        <v>31</v>
      </c>
      <c r="M56" s="89" t="n">
        <v>500</v>
      </c>
      <c r="N56" s="89" t="n">
        <v>5.5</v>
      </c>
      <c r="O56" s="76" t="inlineStr">
        <is>
          <t>Nan</t>
        </is>
      </c>
      <c r="P56" s="76" t="inlineStr">
        <is>
          <t>Nan</t>
        </is>
      </c>
      <c r="Q56" s="76" t="inlineStr">
        <is>
          <t>Nan</t>
        </is>
      </c>
      <c r="R56" s="76" t="inlineStr">
        <is>
          <t>Nan</t>
        </is>
      </c>
      <c r="S56" s="19" t="n">
        <v>4.4</v>
      </c>
      <c r="T56" s="76" t="inlineStr">
        <is>
          <t>Nan</t>
        </is>
      </c>
      <c r="U56" s="19" t="n">
        <v>4</v>
      </c>
      <c r="V56" s="76" t="inlineStr">
        <is>
          <t>Nan</t>
        </is>
      </c>
      <c r="W56" s="94" t="n">
        <v>22</v>
      </c>
      <c r="X56" s="76" t="inlineStr">
        <is>
          <t>Nan</t>
        </is>
      </c>
      <c r="Y56" s="76" t="inlineStr">
        <is>
          <t>Nan</t>
        </is>
      </c>
      <c r="Z56" s="76" t="inlineStr">
        <is>
          <t>Nan</t>
        </is>
      </c>
      <c r="AA56" s="83" t="n">
        <v>27</v>
      </c>
      <c r="AB56" s="19" t="n">
        <v>17.1</v>
      </c>
      <c r="AC56" s="19" t="n">
        <v>13</v>
      </c>
      <c r="AD56" s="19" t="n">
        <v>200</v>
      </c>
      <c r="AE56" s="76" t="inlineStr">
        <is>
          <t>Nan</t>
        </is>
      </c>
      <c r="AF56" s="76" t="inlineStr">
        <is>
          <t>Nan</t>
        </is>
      </c>
      <c r="AG56" s="76" t="inlineStr">
        <is>
          <t>Nan</t>
        </is>
      </c>
      <c r="AH56" s="76" t="inlineStr">
        <is>
          <t>Nan</t>
        </is>
      </c>
      <c r="AI56" s="76" t="inlineStr">
        <is>
          <t>Nan</t>
        </is>
      </c>
      <c r="AJ56" s="76" t="inlineStr">
        <is>
          <t>Nan</t>
        </is>
      </c>
      <c r="AK56" s="76" t="inlineStr">
        <is>
          <t>Nan</t>
        </is>
      </c>
      <c r="AL56" s="76" t="inlineStr">
        <is>
          <t>Nan</t>
        </is>
      </c>
      <c r="AM56" s="62" t="n">
        <v>2</v>
      </c>
      <c r="AN56" s="64" t="n">
        <v>4</v>
      </c>
      <c r="AO56" s="64" t="n">
        <v>4</v>
      </c>
      <c r="AP56" s="64" t="n">
        <v>4</v>
      </c>
      <c r="AQ56" s="64" t="n">
        <v>1</v>
      </c>
      <c r="AR56" s="64" t="n">
        <v>1</v>
      </c>
      <c r="AS56" s="62" t="n">
        <v>3</v>
      </c>
    </row>
    <row r="57" ht="18.75" customHeight="1">
      <c r="A57" s="10" t="inlineStr">
        <is>
          <t>WingtraOne GEN II</t>
        </is>
      </c>
      <c r="B57" s="74" t="inlineStr">
        <is>
          <t>Nan</t>
        </is>
      </c>
      <c r="C57" s="13" t="n">
        <v>7000</v>
      </c>
      <c r="D57" s="75" t="n">
        <v>19.39</v>
      </c>
      <c r="E57" s="76" t="inlineStr">
        <is>
          <t>Nan</t>
        </is>
      </c>
      <c r="F57" s="76" t="inlineStr">
        <is>
          <t>Nan</t>
        </is>
      </c>
      <c r="G57" s="76" t="inlineStr">
        <is>
          <t>Nan</t>
        </is>
      </c>
      <c r="H57" s="76" t="inlineStr">
        <is>
          <t>Nan</t>
        </is>
      </c>
      <c r="I57" s="15" t="n">
        <v>1.25</v>
      </c>
      <c r="J57" s="76" t="inlineStr">
        <is>
          <t>Nan</t>
        </is>
      </c>
      <c r="K57" s="15" t="n">
        <v>12</v>
      </c>
      <c r="L57" s="17" t="n">
        <v>4.5</v>
      </c>
      <c r="M57" s="85" t="n">
        <v>64.8</v>
      </c>
      <c r="N57" s="18" t="n">
        <v>1</v>
      </c>
      <c r="O57" s="76" t="inlineStr">
        <is>
          <t>Nan</t>
        </is>
      </c>
      <c r="P57" s="76" t="inlineStr">
        <is>
          <t>Nan</t>
        </is>
      </c>
      <c r="Q57" s="76" t="inlineStr">
        <is>
          <t>Nan</t>
        </is>
      </c>
      <c r="R57" s="76" t="inlineStr">
        <is>
          <t>Nan</t>
        </is>
      </c>
      <c r="S57" s="76" t="inlineStr">
        <is>
          <t>Nan</t>
        </is>
      </c>
      <c r="T57" s="76" t="inlineStr">
        <is>
          <t>Nan</t>
        </is>
      </c>
      <c r="U57" s="19" t="n">
        <v>0.8</v>
      </c>
      <c r="V57" s="76" t="inlineStr">
        <is>
          <t>Nan</t>
        </is>
      </c>
      <c r="W57" s="19" t="n">
        <v>18</v>
      </c>
      <c r="X57" s="76" t="inlineStr">
        <is>
          <t>Nan</t>
        </is>
      </c>
      <c r="Y57" s="76" t="inlineStr">
        <is>
          <t>Nan</t>
        </is>
      </c>
      <c r="Z57" s="19" t="n">
        <v>2.5</v>
      </c>
      <c r="AA57" s="19" t="n">
        <v>3.7</v>
      </c>
      <c r="AB57" s="19" t="n">
        <v>18</v>
      </c>
      <c r="AC57" s="19" t="n">
        <v>12</v>
      </c>
      <c r="AD57" s="19" t="n">
        <v>10</v>
      </c>
      <c r="AE57" s="76" t="inlineStr">
        <is>
          <t>Nan</t>
        </is>
      </c>
      <c r="AF57" s="76" t="inlineStr">
        <is>
          <t>Nan</t>
        </is>
      </c>
      <c r="AG57" s="76" t="inlineStr">
        <is>
          <t>Nan</t>
        </is>
      </c>
      <c r="AH57" s="76" t="inlineStr">
        <is>
          <t>Nan</t>
        </is>
      </c>
      <c r="AI57" s="76" t="inlineStr">
        <is>
          <t>Nan</t>
        </is>
      </c>
      <c r="AJ57" s="76" t="inlineStr">
        <is>
          <t>Nan</t>
        </is>
      </c>
      <c r="AK57" s="19" t="n">
        <v>19900</v>
      </c>
      <c r="AL57" s="76" t="inlineStr">
        <is>
          <t>Nan</t>
        </is>
      </c>
      <c r="AM57" s="62" t="n">
        <v>2</v>
      </c>
      <c r="AN57" s="64" t="n">
        <v>1</v>
      </c>
      <c r="AO57" s="64" t="n">
        <v>4</v>
      </c>
      <c r="AP57" s="64" t="n">
        <v>4</v>
      </c>
      <c r="AQ57" s="64" t="n">
        <v>1</v>
      </c>
      <c r="AR57" s="64" t="n">
        <v>1</v>
      </c>
      <c r="AS57" s="62" t="n">
        <v>3</v>
      </c>
    </row>
    <row r="58" ht="18.75" customHeight="1">
      <c r="A58" s="10" t="inlineStr">
        <is>
          <t>Trinity Pro</t>
        </is>
      </c>
      <c r="B58" s="76" t="inlineStr">
        <is>
          <t>Nan</t>
        </is>
      </c>
      <c r="C58" s="76" t="inlineStr">
        <is>
          <t>Nan</t>
        </is>
      </c>
      <c r="D58" s="75" t="n">
        <v>18.31</v>
      </c>
      <c r="E58" s="13" t="n">
        <v>18000</v>
      </c>
      <c r="F58" s="82" t="n">
        <v>13.85842775609449</v>
      </c>
      <c r="G58" s="76" t="inlineStr">
        <is>
          <t>Nan</t>
        </is>
      </c>
      <c r="H58" s="76" t="inlineStr">
        <is>
          <t>Nan</t>
        </is>
      </c>
      <c r="I58" s="88" t="n">
        <v>1.48</v>
      </c>
      <c r="J58" s="76" t="inlineStr">
        <is>
          <t>Nan</t>
        </is>
      </c>
      <c r="K58" s="76" t="inlineStr">
        <is>
          <t>Nan</t>
        </is>
      </c>
      <c r="L58" s="17" t="n">
        <v>5.75</v>
      </c>
      <c r="M58" s="85" t="n">
        <v>91.8</v>
      </c>
      <c r="N58" s="18" t="n">
        <v>1.5</v>
      </c>
      <c r="O58" s="76" t="inlineStr">
        <is>
          <t>Nan</t>
        </is>
      </c>
      <c r="P58" s="82" t="n">
        <v>13.85842775609449</v>
      </c>
      <c r="Q58" s="76" t="inlineStr">
        <is>
          <t>Nan</t>
        </is>
      </c>
      <c r="R58" s="76" t="inlineStr">
        <is>
          <t>Nan</t>
        </is>
      </c>
      <c r="S58" s="19" t="n">
        <v>2.394</v>
      </c>
      <c r="T58" s="76" t="inlineStr">
        <is>
          <t>Nan</t>
        </is>
      </c>
      <c r="U58" s="88" t="n">
        <v>0.7</v>
      </c>
      <c r="V58" s="76" t="inlineStr">
        <is>
          <t>Nan</t>
        </is>
      </c>
      <c r="W58" s="19" t="n">
        <v>17</v>
      </c>
      <c r="X58" s="76" t="inlineStr">
        <is>
          <t>Nan</t>
        </is>
      </c>
      <c r="Y58" s="76" t="inlineStr">
        <is>
          <t>Nan</t>
        </is>
      </c>
      <c r="Z58" s="76" t="inlineStr">
        <is>
          <t>Nan</t>
        </is>
      </c>
      <c r="AA58" s="76" t="inlineStr">
        <is>
          <t>Nan</t>
        </is>
      </c>
      <c r="AB58" s="76" t="inlineStr">
        <is>
          <t>Nan</t>
        </is>
      </c>
      <c r="AC58" s="76" t="inlineStr">
        <is>
          <t>Nan</t>
        </is>
      </c>
      <c r="AD58" s="19" t="n">
        <v>7.5</v>
      </c>
      <c r="AE58" s="76" t="inlineStr">
        <is>
          <t>Nan</t>
        </is>
      </c>
      <c r="AF58" s="76" t="inlineStr">
        <is>
          <t>Nan</t>
        </is>
      </c>
      <c r="AG58" s="76" t="inlineStr">
        <is>
          <t>Nan</t>
        </is>
      </c>
      <c r="AH58" s="76" t="inlineStr">
        <is>
          <t>Nan</t>
        </is>
      </c>
      <c r="AI58" s="76" t="inlineStr">
        <is>
          <t>Nan</t>
        </is>
      </c>
      <c r="AJ58" s="76" t="inlineStr">
        <is>
          <t>Nan</t>
        </is>
      </c>
      <c r="AK58" s="76" t="inlineStr">
        <is>
          <t>Nan</t>
        </is>
      </c>
      <c r="AL58" s="76" t="inlineStr">
        <is>
          <t>Nan</t>
        </is>
      </c>
      <c r="AM58" s="62" t="n">
        <v>2</v>
      </c>
      <c r="AN58" s="64" t="n">
        <v>1</v>
      </c>
      <c r="AO58" s="64" t="n">
        <v>1</v>
      </c>
      <c r="AP58" s="64" t="n">
        <v>3</v>
      </c>
      <c r="AQ58" s="64" t="n">
        <v>3</v>
      </c>
      <c r="AR58" s="64" t="n">
        <v>1</v>
      </c>
      <c r="AS58" s="62" t="n">
        <v>3</v>
      </c>
    </row>
    <row r="59" ht="18.75" customHeight="1">
      <c r="A59" s="10" t="inlineStr">
        <is>
          <t>Trinity F90+</t>
        </is>
      </c>
      <c r="B59" s="76" t="inlineStr">
        <is>
          <t>Nan</t>
        </is>
      </c>
      <c r="C59" s="76" t="inlineStr">
        <is>
          <t>Nan</t>
        </is>
      </c>
      <c r="D59" s="75" t="n">
        <v>18.31</v>
      </c>
      <c r="E59" s="13" t="n">
        <v>15000</v>
      </c>
      <c r="F59" s="82" t="n">
        <v>13.85842775609449</v>
      </c>
      <c r="G59" s="76" t="inlineStr">
        <is>
          <t>Nan</t>
        </is>
      </c>
      <c r="H59" s="76" t="inlineStr">
        <is>
          <t>Nan</t>
        </is>
      </c>
      <c r="I59" s="15" t="n">
        <v>1.48</v>
      </c>
      <c r="J59" s="76" t="inlineStr">
        <is>
          <t>Nan</t>
        </is>
      </c>
      <c r="K59" s="76" t="inlineStr">
        <is>
          <t>Nan</t>
        </is>
      </c>
      <c r="L59" s="17" t="n">
        <v>5</v>
      </c>
      <c r="M59" s="91" t="n">
        <v>100</v>
      </c>
      <c r="N59" s="91" t="n">
        <v>1.5</v>
      </c>
      <c r="O59" s="76" t="inlineStr">
        <is>
          <t>Nan</t>
        </is>
      </c>
      <c r="P59" s="82" t="n">
        <v>13.85842775609449</v>
      </c>
      <c r="Q59" s="76" t="inlineStr">
        <is>
          <t>Nan</t>
        </is>
      </c>
      <c r="R59" s="76" t="inlineStr">
        <is>
          <t>Nan</t>
        </is>
      </c>
      <c r="S59" s="19" t="n">
        <v>2.394</v>
      </c>
      <c r="T59" s="76" t="inlineStr">
        <is>
          <t>Nan</t>
        </is>
      </c>
      <c r="U59" s="19" t="n">
        <v>0.7</v>
      </c>
      <c r="V59" s="76" t="inlineStr">
        <is>
          <t>Nan</t>
        </is>
      </c>
      <c r="W59" s="92" t="n">
        <v>17</v>
      </c>
      <c r="X59" s="76" t="inlineStr">
        <is>
          <t>Nan</t>
        </is>
      </c>
      <c r="Y59" s="76" t="inlineStr">
        <is>
          <t>Nan</t>
        </is>
      </c>
      <c r="Z59" s="76" t="inlineStr">
        <is>
          <t>Nan</t>
        </is>
      </c>
      <c r="AA59" s="83" t="n">
        <v>4.3</v>
      </c>
      <c r="AB59" s="76" t="inlineStr">
        <is>
          <t>Nan</t>
        </is>
      </c>
      <c r="AC59" s="76" t="inlineStr">
        <is>
          <t>Nan</t>
        </is>
      </c>
      <c r="AD59" s="19" t="n">
        <v>7.5</v>
      </c>
      <c r="AE59" s="76" t="inlineStr">
        <is>
          <t>Nan</t>
        </is>
      </c>
      <c r="AF59" s="76" t="inlineStr">
        <is>
          <t>Nan</t>
        </is>
      </c>
      <c r="AG59" s="76" t="inlineStr">
        <is>
          <t>Nan</t>
        </is>
      </c>
      <c r="AH59" s="76" t="inlineStr">
        <is>
          <t>Nan</t>
        </is>
      </c>
      <c r="AI59" s="76" t="inlineStr">
        <is>
          <t>Nan</t>
        </is>
      </c>
      <c r="AJ59" s="76" t="inlineStr">
        <is>
          <t>Nan</t>
        </is>
      </c>
      <c r="AK59" s="76" t="inlineStr">
        <is>
          <t>Nan</t>
        </is>
      </c>
      <c r="AL59" s="76" t="inlineStr">
        <is>
          <t>Nan</t>
        </is>
      </c>
      <c r="AM59" s="62" t="n">
        <v>2</v>
      </c>
      <c r="AN59" s="64" t="n">
        <v>1</v>
      </c>
      <c r="AO59" s="64" t="n">
        <v>1</v>
      </c>
      <c r="AP59" s="64" t="n">
        <v>3</v>
      </c>
      <c r="AQ59" s="64" t="n">
        <v>3</v>
      </c>
      <c r="AR59" s="64" t="n">
        <v>1</v>
      </c>
      <c r="AS59" s="62" t="n">
        <v>3</v>
      </c>
    </row>
    <row r="60" ht="18.75" customHeight="1">
      <c r="A60" s="10" t="inlineStr">
        <is>
          <t>Vector</t>
        </is>
      </c>
      <c r="B60" s="76" t="inlineStr">
        <is>
          <t>Nan</t>
        </is>
      </c>
      <c r="C60" s="76" t="inlineStr">
        <is>
          <t>Nan</t>
        </is>
      </c>
      <c r="D60" s="75" t="n">
        <v>21.55</v>
      </c>
      <c r="E60" s="13" t="n">
        <v>12500</v>
      </c>
      <c r="F60" s="82" t="n">
        <v>15.17653920996816</v>
      </c>
      <c r="G60" s="76" t="inlineStr">
        <is>
          <t>Nan</t>
        </is>
      </c>
      <c r="H60" s="76" t="inlineStr">
        <is>
          <t>Nan</t>
        </is>
      </c>
      <c r="I60" s="15" t="n">
        <v>1.5</v>
      </c>
      <c r="J60" s="76" t="inlineStr">
        <is>
          <t>Nan</t>
        </is>
      </c>
      <c r="K60" s="76" t="inlineStr">
        <is>
          <t>Nan</t>
        </is>
      </c>
      <c r="L60" s="17" t="n">
        <v>9.5</v>
      </c>
      <c r="M60" s="85" t="n">
        <v>216</v>
      </c>
      <c r="N60" s="18" t="n">
        <v>3</v>
      </c>
      <c r="O60" s="76" t="inlineStr">
        <is>
          <t>Nan</t>
        </is>
      </c>
      <c r="P60" s="82" t="n">
        <v>15.17653920996816</v>
      </c>
      <c r="Q60" s="76" t="inlineStr">
        <is>
          <t>Nan</t>
        </is>
      </c>
      <c r="R60" s="76" t="inlineStr">
        <is>
          <t>Nan</t>
        </is>
      </c>
      <c r="S60" s="19" t="n">
        <v>2.8</v>
      </c>
      <c r="T60" s="76" t="inlineStr">
        <is>
          <t>Nan</t>
        </is>
      </c>
      <c r="U60" s="76" t="inlineStr">
        <is>
          <t>Nan</t>
        </is>
      </c>
      <c r="V60" s="76" t="inlineStr">
        <is>
          <t>Nan</t>
        </is>
      </c>
      <c r="W60" s="19" t="n">
        <v>20</v>
      </c>
      <c r="X60" s="76" t="inlineStr">
        <is>
          <t>Nan</t>
        </is>
      </c>
      <c r="Y60" s="76" t="inlineStr">
        <is>
          <t>Nan</t>
        </is>
      </c>
      <c r="Z60" s="76" t="inlineStr">
        <is>
          <t>Nan</t>
        </is>
      </c>
      <c r="AA60" s="76" t="inlineStr">
        <is>
          <t>Nan</t>
        </is>
      </c>
      <c r="AB60" s="76" t="inlineStr">
        <is>
          <t>Nan</t>
        </is>
      </c>
      <c r="AC60" s="76" t="inlineStr">
        <is>
          <t>Nan</t>
        </is>
      </c>
      <c r="AD60" s="19" t="n">
        <v>60</v>
      </c>
      <c r="AE60" s="76" t="inlineStr">
        <is>
          <t>Nan</t>
        </is>
      </c>
      <c r="AF60" s="76" t="inlineStr">
        <is>
          <t>Nan</t>
        </is>
      </c>
      <c r="AG60" s="76" t="inlineStr">
        <is>
          <t>Nan</t>
        </is>
      </c>
      <c r="AH60" s="76" t="inlineStr">
        <is>
          <t>Nan</t>
        </is>
      </c>
      <c r="AI60" s="76" t="inlineStr">
        <is>
          <t>Nan</t>
        </is>
      </c>
      <c r="AJ60" s="76" t="inlineStr">
        <is>
          <t>Nan</t>
        </is>
      </c>
      <c r="AK60" s="76" t="inlineStr">
        <is>
          <t>Nan</t>
        </is>
      </c>
      <c r="AL60" s="76" t="inlineStr">
        <is>
          <t>Nan</t>
        </is>
      </c>
      <c r="AM60" s="62" t="n">
        <v>2</v>
      </c>
      <c r="AN60" s="64" t="n">
        <v>1</v>
      </c>
      <c r="AO60" s="64" t="n">
        <v>1</v>
      </c>
      <c r="AP60" s="64" t="n">
        <v>3</v>
      </c>
      <c r="AQ60" s="64" t="n">
        <v>3</v>
      </c>
      <c r="AR60" s="64" t="n">
        <v>1</v>
      </c>
      <c r="AS60" s="62" t="n">
        <v>3</v>
      </c>
    </row>
    <row r="61" ht="18.75" customHeight="1">
      <c r="A61" s="60" t="inlineStr">
        <is>
          <t>T-Drones VA32</t>
        </is>
      </c>
      <c r="B61" s="76" t="inlineStr">
        <is>
          <t>Nan</t>
        </is>
      </c>
      <c r="C61" s="76" t="inlineStr">
        <is>
          <t>Nan</t>
        </is>
      </c>
      <c r="D61" s="75" t="n">
        <v>23.7</v>
      </c>
      <c r="E61" s="13" t="n">
        <v>15000</v>
      </c>
      <c r="F61" s="82" t="n">
        <v>15.75169973508119</v>
      </c>
      <c r="G61" s="76" t="inlineStr">
        <is>
          <t>Nan</t>
        </is>
      </c>
      <c r="H61" s="76" t="inlineStr">
        <is>
          <t>Nan</t>
        </is>
      </c>
      <c r="I61" s="15" t="n">
        <v>1.98</v>
      </c>
      <c r="J61" s="76" t="inlineStr">
        <is>
          <t>Nan</t>
        </is>
      </c>
      <c r="K61" s="76" t="inlineStr">
        <is>
          <t>Nan</t>
        </is>
      </c>
      <c r="L61" s="17" t="n">
        <v>25</v>
      </c>
      <c r="M61" s="91" t="n">
        <v>300</v>
      </c>
      <c r="N61" s="91" t="n">
        <v>4</v>
      </c>
      <c r="O61" s="82" t="n">
        <v>32.98405137757357</v>
      </c>
      <c r="P61" s="18" t="n">
        <v>38</v>
      </c>
      <c r="Q61" s="76" t="inlineStr">
        <is>
          <t>Nan</t>
        </is>
      </c>
      <c r="R61" s="76" t="inlineStr">
        <is>
          <t>Nan</t>
        </is>
      </c>
      <c r="S61" s="19" t="n">
        <v>3.2</v>
      </c>
      <c r="T61" s="76" t="inlineStr">
        <is>
          <t>Nan</t>
        </is>
      </c>
      <c r="U61" s="19" t="n">
        <v>5</v>
      </c>
      <c r="V61" s="76" t="inlineStr">
        <is>
          <t>Nan</t>
        </is>
      </c>
      <c r="W61" s="92" t="n">
        <v>22</v>
      </c>
      <c r="X61" s="76" t="inlineStr">
        <is>
          <t>Nan</t>
        </is>
      </c>
      <c r="Y61" s="76" t="inlineStr">
        <is>
          <t>Nan</t>
        </is>
      </c>
      <c r="Z61" s="76" t="inlineStr">
        <is>
          <t>Nan</t>
        </is>
      </c>
      <c r="AA61" s="83" t="n">
        <v>20</v>
      </c>
      <c r="AB61" s="76" t="inlineStr">
        <is>
          <t>Nan</t>
        </is>
      </c>
      <c r="AC61" s="19" t="n">
        <v>10.7</v>
      </c>
      <c r="AD61" s="19" t="n">
        <v>10</v>
      </c>
      <c r="AE61" s="76" t="inlineStr">
        <is>
          <t>Nan</t>
        </is>
      </c>
      <c r="AF61" s="76" t="inlineStr">
        <is>
          <t>Nan</t>
        </is>
      </c>
      <c r="AG61" s="76" t="inlineStr">
        <is>
          <t>Nan</t>
        </is>
      </c>
      <c r="AH61" s="76" t="inlineStr">
        <is>
          <t>Nan</t>
        </is>
      </c>
      <c r="AI61" s="76" t="inlineStr">
        <is>
          <t>Nan</t>
        </is>
      </c>
      <c r="AJ61" s="76" t="inlineStr">
        <is>
          <t>Nan</t>
        </is>
      </c>
      <c r="AK61" s="76" t="inlineStr">
        <is>
          <t>Nan</t>
        </is>
      </c>
      <c r="AL61" s="19" t="n">
        <v>12890</v>
      </c>
      <c r="AM61" s="62" t="n">
        <v>2</v>
      </c>
      <c r="AN61" s="64" t="n">
        <v>1</v>
      </c>
      <c r="AO61" s="64" t="n">
        <v>1</v>
      </c>
      <c r="AP61" s="64" t="n">
        <v>4</v>
      </c>
      <c r="AQ61" s="64" t="n">
        <v>1</v>
      </c>
      <c r="AR61" s="64" t="n">
        <v>1</v>
      </c>
      <c r="AS61" s="62" t="n">
        <v>3</v>
      </c>
    </row>
    <row r="62" ht="18.75" customHeight="1">
      <c r="A62" s="60" t="inlineStr">
        <is>
          <t>Avy Aera</t>
        </is>
      </c>
      <c r="B62" s="76" t="inlineStr">
        <is>
          <t>Nan</t>
        </is>
      </c>
      <c r="C62" s="76" t="inlineStr">
        <is>
          <t>Nan</t>
        </is>
      </c>
      <c r="D62" s="75" t="n">
        <v>26.93</v>
      </c>
      <c r="E62" s="76" t="inlineStr">
        <is>
          <t>Nan</t>
        </is>
      </c>
      <c r="F62" s="82" t="n">
        <v>16.11044135591048</v>
      </c>
      <c r="G62" s="76" t="inlineStr">
        <is>
          <t>Nan</t>
        </is>
      </c>
      <c r="H62" s="76" t="inlineStr">
        <is>
          <t>Nan</t>
        </is>
      </c>
      <c r="I62" s="15" t="n">
        <v>1.5</v>
      </c>
      <c r="J62" s="76" t="inlineStr">
        <is>
          <t>Nan</t>
        </is>
      </c>
      <c r="K62" s="76" t="inlineStr">
        <is>
          <t>Nan</t>
        </is>
      </c>
      <c r="L62" s="17" t="n">
        <v>19.5</v>
      </c>
      <c r="M62" s="89" t="n">
        <v>100</v>
      </c>
      <c r="N62" s="89" t="n">
        <v>1.25</v>
      </c>
      <c r="O62" s="18" t="n">
        <v>38.9</v>
      </c>
      <c r="P62" s="76" t="inlineStr">
        <is>
          <t>Nan</t>
        </is>
      </c>
      <c r="Q62" s="76" t="inlineStr">
        <is>
          <t>Nan</t>
        </is>
      </c>
      <c r="R62" s="76" t="inlineStr">
        <is>
          <t>Nan</t>
        </is>
      </c>
      <c r="S62" s="19" t="n">
        <v>2.4</v>
      </c>
      <c r="T62" s="76" t="inlineStr">
        <is>
          <t>Nan</t>
        </is>
      </c>
      <c r="U62" s="19" t="n">
        <v>3</v>
      </c>
      <c r="V62" s="76" t="inlineStr">
        <is>
          <t>Nan</t>
        </is>
      </c>
      <c r="W62" s="94" t="n">
        <v>25</v>
      </c>
      <c r="X62" s="76" t="inlineStr">
        <is>
          <t>Nan</t>
        </is>
      </c>
      <c r="Y62" s="76" t="inlineStr">
        <is>
          <t>Nan</t>
        </is>
      </c>
      <c r="Z62" s="76" t="inlineStr">
        <is>
          <t>Nan</t>
        </is>
      </c>
      <c r="AA62" s="83" t="n">
        <v>16.5</v>
      </c>
      <c r="AB62" s="76" t="inlineStr">
        <is>
          <t>Nan</t>
        </is>
      </c>
      <c r="AC62" s="19" t="n">
        <v>12.5</v>
      </c>
      <c r="AD62" s="76" t="inlineStr">
        <is>
          <t>Nan</t>
        </is>
      </c>
      <c r="AE62" s="76" t="inlineStr">
        <is>
          <t>Nan</t>
        </is>
      </c>
      <c r="AF62" s="76" t="inlineStr">
        <is>
          <t>Nan</t>
        </is>
      </c>
      <c r="AG62" s="76" t="inlineStr">
        <is>
          <t>Nan</t>
        </is>
      </c>
      <c r="AH62" s="76" t="inlineStr">
        <is>
          <t>Nan</t>
        </is>
      </c>
      <c r="AI62" s="76" t="inlineStr">
        <is>
          <t>Nan</t>
        </is>
      </c>
      <c r="AJ62" s="76" t="inlineStr">
        <is>
          <t>Nan</t>
        </is>
      </c>
      <c r="AK62" s="76" t="inlineStr">
        <is>
          <t>Nan</t>
        </is>
      </c>
      <c r="AL62" s="76" t="inlineStr">
        <is>
          <t>Nan</t>
        </is>
      </c>
      <c r="AM62" s="62" t="n">
        <v>2</v>
      </c>
      <c r="AN62" s="64" t="n">
        <v>1</v>
      </c>
      <c r="AO62" s="64" t="n">
        <v>1</v>
      </c>
      <c r="AP62" s="64" t="n">
        <v>4</v>
      </c>
      <c r="AQ62" s="64" t="n">
        <v>1</v>
      </c>
      <c r="AR62" s="64" t="n">
        <v>1</v>
      </c>
      <c r="AS62" s="62" t="n">
        <v>3</v>
      </c>
    </row>
    <row r="63" ht="18.75" customHeight="1">
      <c r="A63" s="60" t="inlineStr">
        <is>
          <t>Event 38 E400 VTOL</t>
        </is>
      </c>
      <c r="B63" s="76" t="inlineStr">
        <is>
          <t>Nan</t>
        </is>
      </c>
      <c r="C63" s="76" t="inlineStr">
        <is>
          <t>Nan</t>
        </is>
      </c>
      <c r="D63" s="75" t="n">
        <v>17.24</v>
      </c>
      <c r="E63" s="76" t="inlineStr">
        <is>
          <t>Nan</t>
        </is>
      </c>
      <c r="F63" s="76" t="inlineStr">
        <is>
          <t>Nan</t>
        </is>
      </c>
      <c r="G63" s="76" t="inlineStr">
        <is>
          <t>Nan</t>
        </is>
      </c>
      <c r="H63" s="76" t="inlineStr">
        <is>
          <t>Nan</t>
        </is>
      </c>
      <c r="I63" s="15" t="n">
        <v>1.5</v>
      </c>
      <c r="J63" s="76" t="inlineStr">
        <is>
          <t>Nan</t>
        </is>
      </c>
      <c r="K63" s="76" t="inlineStr">
        <is>
          <t>Nan</t>
        </is>
      </c>
      <c r="L63" s="17" t="n">
        <v>9.300000000000001</v>
      </c>
      <c r="M63" s="18" t="n">
        <v>86</v>
      </c>
      <c r="N63" s="18" t="n">
        <v>1.5</v>
      </c>
      <c r="O63" s="82" t="n">
        <v>38.63810093637549</v>
      </c>
      <c r="P63" s="76" t="inlineStr">
        <is>
          <t>Nan</t>
        </is>
      </c>
      <c r="Q63" s="76" t="inlineStr">
        <is>
          <t>Nan</t>
        </is>
      </c>
      <c r="R63" s="76" t="inlineStr">
        <is>
          <t>Nan</t>
        </is>
      </c>
      <c r="S63" s="19" t="n">
        <v>3</v>
      </c>
      <c r="T63" s="76" t="inlineStr">
        <is>
          <t>Nan</t>
        </is>
      </c>
      <c r="U63" s="19" t="n">
        <v>1.3</v>
      </c>
      <c r="V63" s="76" t="inlineStr">
        <is>
          <t>Nan</t>
        </is>
      </c>
      <c r="W63" s="19" t="n">
        <v>16</v>
      </c>
      <c r="X63" s="76" t="inlineStr">
        <is>
          <t>Nan</t>
        </is>
      </c>
      <c r="Y63" s="76" t="inlineStr">
        <is>
          <t>Nan</t>
        </is>
      </c>
      <c r="Z63" s="76" t="inlineStr">
        <is>
          <t>Nan</t>
        </is>
      </c>
      <c r="AA63" s="83" t="n">
        <v>8</v>
      </c>
      <c r="AB63" s="76" t="inlineStr">
        <is>
          <t>Nan</t>
        </is>
      </c>
      <c r="AC63" s="19" t="n">
        <v>12</v>
      </c>
      <c r="AD63" s="19" t="n">
        <v>8</v>
      </c>
      <c r="AE63" s="76" t="inlineStr">
        <is>
          <t>Nan</t>
        </is>
      </c>
      <c r="AF63" s="76" t="inlineStr">
        <is>
          <t>Nan</t>
        </is>
      </c>
      <c r="AG63" s="76" t="inlineStr">
        <is>
          <t>Nan</t>
        </is>
      </c>
      <c r="AH63" s="76" t="inlineStr">
        <is>
          <t>Nan</t>
        </is>
      </c>
      <c r="AI63" s="76" t="inlineStr">
        <is>
          <t>Nan</t>
        </is>
      </c>
      <c r="AJ63" s="76" t="inlineStr">
        <is>
          <t>Nan</t>
        </is>
      </c>
      <c r="AK63" s="76" t="inlineStr">
        <is>
          <t>Nan</t>
        </is>
      </c>
      <c r="AL63" s="76" t="inlineStr">
        <is>
          <t>Nan</t>
        </is>
      </c>
      <c r="AM63" s="62" t="n">
        <v>2</v>
      </c>
      <c r="AN63" s="64" t="n">
        <v>1</v>
      </c>
      <c r="AO63" s="64" t="n">
        <v>1</v>
      </c>
      <c r="AP63" s="64" t="n">
        <v>4</v>
      </c>
      <c r="AQ63" s="64" t="n">
        <v>1</v>
      </c>
      <c r="AR63" s="64" t="n">
        <v>1</v>
      </c>
      <c r="AS63" s="62" t="n">
        <v>3</v>
      </c>
    </row>
    <row r="64" ht="18.75" customHeight="1">
      <c r="A64" s="60" t="inlineStr">
        <is>
          <t>Aerovel Flexrotor</t>
        </is>
      </c>
      <c r="B64" s="76" t="inlineStr">
        <is>
          <t>Nan</t>
        </is>
      </c>
      <c r="C64" s="76" t="inlineStr">
        <is>
          <t>Nan</t>
        </is>
      </c>
      <c r="D64" s="76" t="inlineStr">
        <is>
          <t>Nan</t>
        </is>
      </c>
      <c r="E64" s="76" t="inlineStr">
        <is>
          <t>Nan</t>
        </is>
      </c>
      <c r="F64" s="76" t="inlineStr">
        <is>
          <t>Nan</t>
        </is>
      </c>
      <c r="G64" s="76" t="inlineStr">
        <is>
          <t>Nan</t>
        </is>
      </c>
      <c r="H64" s="76" t="inlineStr">
        <is>
          <t>Nan</t>
        </is>
      </c>
      <c r="I64" s="15" t="n">
        <v>2</v>
      </c>
      <c r="J64" s="76" t="inlineStr">
        <is>
          <t>Nan</t>
        </is>
      </c>
      <c r="K64" s="76" t="inlineStr">
        <is>
          <t>Nan</t>
        </is>
      </c>
      <c r="L64" s="17" t="n">
        <v>25</v>
      </c>
      <c r="M64" s="76" t="inlineStr">
        <is>
          <t>Nan</t>
        </is>
      </c>
      <c r="N64" s="18" t="n">
        <v>14</v>
      </c>
      <c r="O64" s="18" t="n">
        <v>38.9</v>
      </c>
      <c r="P64" s="76" t="inlineStr">
        <is>
          <t>Nan</t>
        </is>
      </c>
      <c r="Q64" s="76" t="inlineStr">
        <is>
          <t>Nan</t>
        </is>
      </c>
      <c r="R64" s="76" t="inlineStr">
        <is>
          <t>Nan</t>
        </is>
      </c>
      <c r="S64" s="19" t="n">
        <v>3</v>
      </c>
      <c r="T64" s="76" t="inlineStr">
        <is>
          <t>Nan</t>
        </is>
      </c>
      <c r="U64" s="19" t="n">
        <v>8</v>
      </c>
      <c r="V64" s="76" t="inlineStr">
        <is>
          <t>Nan</t>
        </is>
      </c>
      <c r="W64" s="76" t="inlineStr">
        <is>
          <t>Nan</t>
        </is>
      </c>
      <c r="X64" s="76" t="inlineStr">
        <is>
          <t>Nan</t>
        </is>
      </c>
      <c r="Y64" s="76" t="inlineStr">
        <is>
          <t>Nan</t>
        </is>
      </c>
      <c r="Z64" s="76" t="inlineStr">
        <is>
          <t>Nan</t>
        </is>
      </c>
      <c r="AA64" s="83" t="n">
        <v>17</v>
      </c>
      <c r="AB64" s="76" t="inlineStr">
        <is>
          <t>Nan</t>
        </is>
      </c>
      <c r="AC64" s="76" t="inlineStr">
        <is>
          <t>Nan</t>
        </is>
      </c>
      <c r="AD64" s="76" t="inlineStr">
        <is>
          <t>Nan</t>
        </is>
      </c>
      <c r="AE64" s="76" t="inlineStr">
        <is>
          <t>Nan</t>
        </is>
      </c>
      <c r="AF64" s="76" t="inlineStr">
        <is>
          <t>Nan</t>
        </is>
      </c>
      <c r="AG64" s="76" t="inlineStr">
        <is>
          <t>Nan</t>
        </is>
      </c>
      <c r="AH64" s="76" t="inlineStr">
        <is>
          <t>Nan</t>
        </is>
      </c>
      <c r="AI64" s="76" t="inlineStr">
        <is>
          <t>Nan</t>
        </is>
      </c>
      <c r="AJ64" s="76" t="inlineStr">
        <is>
          <t>Nan</t>
        </is>
      </c>
      <c r="AK64" s="76" t="inlineStr">
        <is>
          <t>Nan</t>
        </is>
      </c>
      <c r="AL64" s="76" t="inlineStr">
        <is>
          <t>Nan</t>
        </is>
      </c>
      <c r="AM64" s="62" t="n">
        <v>2</v>
      </c>
      <c r="AN64" s="64" t="n">
        <v>2</v>
      </c>
      <c r="AO64" s="64" t="n">
        <v>2</v>
      </c>
      <c r="AP64" s="64" t="n">
        <v>1</v>
      </c>
      <c r="AQ64" s="64" t="n">
        <v>1</v>
      </c>
      <c r="AR64" s="64" t="n">
        <v>1</v>
      </c>
      <c r="AS64" s="64" t="n">
        <v>1</v>
      </c>
    </row>
    <row r="65" ht="18.75" customHeight="1">
      <c r="A65" s="60" t="inlineStr">
        <is>
          <t>FIXAR 007 NG</t>
        </is>
      </c>
      <c r="B65" s="76" t="inlineStr">
        <is>
          <t>Nan</t>
        </is>
      </c>
      <c r="C65" s="76" t="inlineStr">
        <is>
          <t>Nan</t>
        </is>
      </c>
      <c r="D65" s="75" t="n">
        <v>19.39</v>
      </c>
      <c r="E65" s="13" t="n">
        <v>20000</v>
      </c>
      <c r="F65" s="82" t="n">
        <v>14.36188254042029</v>
      </c>
      <c r="G65" s="76" t="inlineStr">
        <is>
          <t>Nan</t>
        </is>
      </c>
      <c r="H65" s="76" t="inlineStr">
        <is>
          <t>Nan</t>
        </is>
      </c>
      <c r="I65" s="15" t="n">
        <v>0.85</v>
      </c>
      <c r="J65" s="76" t="inlineStr">
        <is>
          <t>Nan</t>
        </is>
      </c>
      <c r="K65" s="76" t="inlineStr">
        <is>
          <t>Nan</t>
        </is>
      </c>
      <c r="L65" s="17" t="n">
        <v>7</v>
      </c>
      <c r="M65" s="89" t="n">
        <v>55</v>
      </c>
      <c r="N65" s="89" t="n">
        <v>1.17</v>
      </c>
      <c r="O65" s="18" t="n">
        <v>24</v>
      </c>
      <c r="P65" s="82" t="n">
        <v>14.36188254042029</v>
      </c>
      <c r="Q65" s="76" t="inlineStr">
        <is>
          <t>Nan</t>
        </is>
      </c>
      <c r="R65" s="76" t="inlineStr">
        <is>
          <t>Nan</t>
        </is>
      </c>
      <c r="S65" s="19" t="n">
        <v>1.62</v>
      </c>
      <c r="T65" s="76" t="inlineStr">
        <is>
          <t>Nan</t>
        </is>
      </c>
      <c r="U65" s="19" t="n">
        <v>2</v>
      </c>
      <c r="V65" s="76" t="inlineStr">
        <is>
          <t>Nan</t>
        </is>
      </c>
      <c r="W65" s="94" t="n">
        <v>18</v>
      </c>
      <c r="X65" s="76" t="inlineStr">
        <is>
          <t>Nan</t>
        </is>
      </c>
      <c r="Y65" s="76" t="inlineStr">
        <is>
          <t>Nan</t>
        </is>
      </c>
      <c r="Z65" s="76" t="inlineStr">
        <is>
          <t>Nan</t>
        </is>
      </c>
      <c r="AA65" s="83" t="n">
        <v>5</v>
      </c>
      <c r="AB65" s="76" t="inlineStr">
        <is>
          <t>Nan</t>
        </is>
      </c>
      <c r="AC65" s="19" t="n">
        <v>15</v>
      </c>
      <c r="AD65" s="76" t="inlineStr">
        <is>
          <t>Nan</t>
        </is>
      </c>
      <c r="AE65" s="76" t="inlineStr">
        <is>
          <t>Nan</t>
        </is>
      </c>
      <c r="AF65" s="76" t="inlineStr">
        <is>
          <t>Nan</t>
        </is>
      </c>
      <c r="AG65" s="76" t="inlineStr">
        <is>
          <t>Nan</t>
        </is>
      </c>
      <c r="AH65" s="76" t="inlineStr">
        <is>
          <t>Nan</t>
        </is>
      </c>
      <c r="AI65" s="76" t="inlineStr">
        <is>
          <t>Nan</t>
        </is>
      </c>
      <c r="AJ65" s="76" t="inlineStr">
        <is>
          <t>Nan</t>
        </is>
      </c>
      <c r="AK65" s="76" t="inlineStr">
        <is>
          <t>Nan</t>
        </is>
      </c>
      <c r="AL65" s="76" t="inlineStr">
        <is>
          <t>Nan</t>
        </is>
      </c>
      <c r="AM65" s="62" t="n">
        <v>2</v>
      </c>
      <c r="AN65" s="64" t="n">
        <v>1</v>
      </c>
      <c r="AO65" s="64" t="n">
        <v>1</v>
      </c>
      <c r="AP65" s="64" t="n">
        <v>4</v>
      </c>
      <c r="AQ65" s="64" t="n">
        <v>4</v>
      </c>
      <c r="AR65" s="64" t="n">
        <v>1</v>
      </c>
      <c r="AS65" s="64" t="n">
        <v>3</v>
      </c>
    </row>
    <row r="66" ht="18.75" customHeight="1">
      <c r="A66" s="60" t="inlineStr">
        <is>
          <t>Autel Dragonfish</t>
        </is>
      </c>
      <c r="B66" s="76" t="inlineStr">
        <is>
          <t>Nan</t>
        </is>
      </c>
      <c r="C66" s="76" t="inlineStr">
        <is>
          <t>Nan</t>
        </is>
      </c>
      <c r="D66" s="76" t="inlineStr">
        <is>
          <t>Nan</t>
        </is>
      </c>
      <c r="E66" s="76" t="inlineStr">
        <is>
          <t>Nan</t>
        </is>
      </c>
      <c r="F66" s="82" t="n">
        <v>14.41646843979265</v>
      </c>
      <c r="G66" s="76" t="inlineStr">
        <is>
          <t>Nan</t>
        </is>
      </c>
      <c r="H66" s="76" t="inlineStr">
        <is>
          <t>Nan</t>
        </is>
      </c>
      <c r="I66" s="15" t="n">
        <v>1.29</v>
      </c>
      <c r="J66" s="76" t="inlineStr">
        <is>
          <t>Nan</t>
        </is>
      </c>
      <c r="K66" s="76" t="inlineStr">
        <is>
          <t>Nan</t>
        </is>
      </c>
      <c r="L66" s="17" t="n">
        <v>9</v>
      </c>
      <c r="M66" s="76" t="inlineStr">
        <is>
          <t>Nan</t>
        </is>
      </c>
      <c r="N66" s="18" t="n">
        <v>1.75</v>
      </c>
      <c r="O66" s="18" t="n">
        <v>30</v>
      </c>
      <c r="P66" s="76" t="inlineStr">
        <is>
          <t>Nan</t>
        </is>
      </c>
      <c r="Q66" s="76" t="inlineStr">
        <is>
          <t>Nan</t>
        </is>
      </c>
      <c r="R66" s="76" t="inlineStr">
        <is>
          <t>Nan</t>
        </is>
      </c>
      <c r="S66" s="19" t="n">
        <v>2.3</v>
      </c>
      <c r="T66" s="76" t="inlineStr">
        <is>
          <t>Nan</t>
        </is>
      </c>
      <c r="U66" s="19" t="n">
        <v>1.5</v>
      </c>
      <c r="V66" s="76" t="inlineStr">
        <is>
          <t>Nan</t>
        </is>
      </c>
      <c r="W66" s="76" t="inlineStr">
        <is>
          <t>Nan</t>
        </is>
      </c>
      <c r="X66" s="76" t="inlineStr">
        <is>
          <t>Nan</t>
        </is>
      </c>
      <c r="Y66" s="76" t="inlineStr">
        <is>
          <t>Nan</t>
        </is>
      </c>
      <c r="Z66" s="76" t="inlineStr">
        <is>
          <t>Nan</t>
        </is>
      </c>
      <c r="AA66" s="19" t="n">
        <v>7.5</v>
      </c>
      <c r="AB66" s="76" t="inlineStr">
        <is>
          <t>Nan</t>
        </is>
      </c>
      <c r="AC66" s="76" t="inlineStr">
        <is>
          <t>Nan</t>
        </is>
      </c>
      <c r="AD66" s="76" t="inlineStr">
        <is>
          <t>Nan</t>
        </is>
      </c>
      <c r="AE66" s="76" t="inlineStr">
        <is>
          <t>Nan</t>
        </is>
      </c>
      <c r="AF66" s="76" t="inlineStr">
        <is>
          <t>Nan</t>
        </is>
      </c>
      <c r="AG66" s="76" t="inlineStr">
        <is>
          <t>Nan</t>
        </is>
      </c>
      <c r="AH66" s="76" t="inlineStr">
        <is>
          <t>Nan</t>
        </is>
      </c>
      <c r="AI66" s="76" t="inlineStr">
        <is>
          <t>Nan</t>
        </is>
      </c>
      <c r="AJ66" s="76" t="inlineStr">
        <is>
          <t>Nan</t>
        </is>
      </c>
      <c r="AK66" s="76" t="inlineStr">
        <is>
          <t>Nan</t>
        </is>
      </c>
      <c r="AL66" s="76" t="inlineStr">
        <is>
          <t>Nan</t>
        </is>
      </c>
      <c r="AM66" s="62" t="n">
        <v>2</v>
      </c>
      <c r="AN66" s="64" t="n">
        <v>1</v>
      </c>
      <c r="AO66" s="64" t="n">
        <v>1</v>
      </c>
      <c r="AP66" s="64" t="n">
        <v>4</v>
      </c>
      <c r="AQ66" s="64" t="n">
        <v>2</v>
      </c>
      <c r="AR66" s="64" t="n">
        <v>1</v>
      </c>
      <c r="AS66" s="64" t="n">
        <v>3</v>
      </c>
    </row>
    <row r="67" ht="18.75" customHeight="1">
      <c r="A67" s="60" t="inlineStr">
        <is>
          <t>Autel Dragonfish Pro</t>
        </is>
      </c>
      <c r="B67" s="76" t="inlineStr">
        <is>
          <t>Nan</t>
        </is>
      </c>
      <c r="C67" s="76" t="inlineStr">
        <is>
          <t>Nan</t>
        </is>
      </c>
      <c r="D67" s="76" t="inlineStr">
        <is>
          <t>Nan</t>
        </is>
      </c>
      <c r="E67" s="76" t="inlineStr">
        <is>
          <t>Nan</t>
        </is>
      </c>
      <c r="F67" s="82" t="n">
        <v>15.14712477155822</v>
      </c>
      <c r="G67" s="76" t="inlineStr">
        <is>
          <t>Nan</t>
        </is>
      </c>
      <c r="H67" s="76" t="inlineStr">
        <is>
          <t>Nan</t>
        </is>
      </c>
      <c r="I67" s="15" t="n">
        <v>1.66</v>
      </c>
      <c r="J67" s="76" t="inlineStr">
        <is>
          <t>Nan</t>
        </is>
      </c>
      <c r="K67" s="76" t="inlineStr">
        <is>
          <t>Nan</t>
        </is>
      </c>
      <c r="L67" s="17" t="n">
        <v>19</v>
      </c>
      <c r="M67" s="76" t="inlineStr">
        <is>
          <t>Nan</t>
        </is>
      </c>
      <c r="N67" s="18" t="n">
        <v>3</v>
      </c>
      <c r="O67" s="18" t="n">
        <v>30</v>
      </c>
      <c r="P67" s="76" t="inlineStr">
        <is>
          <t>Nan</t>
        </is>
      </c>
      <c r="Q67" s="76" t="inlineStr">
        <is>
          <t>Nan</t>
        </is>
      </c>
      <c r="R67" s="76" t="inlineStr">
        <is>
          <t>Nan</t>
        </is>
      </c>
      <c r="S67" s="19" t="n">
        <v>2.98</v>
      </c>
      <c r="T67" s="76" t="inlineStr">
        <is>
          <t>Nan</t>
        </is>
      </c>
      <c r="U67" s="19" t="n">
        <v>2.2</v>
      </c>
      <c r="V67" s="76" t="inlineStr">
        <is>
          <t>Nan</t>
        </is>
      </c>
      <c r="W67" s="76" t="inlineStr">
        <is>
          <t>Nan</t>
        </is>
      </c>
      <c r="X67" s="76" t="inlineStr">
        <is>
          <t>Nan</t>
        </is>
      </c>
      <c r="Y67" s="76" t="inlineStr">
        <is>
          <t>Nan</t>
        </is>
      </c>
      <c r="Z67" s="76" t="inlineStr">
        <is>
          <t>Nan</t>
        </is>
      </c>
      <c r="AA67" s="19" t="n">
        <v>16.8</v>
      </c>
      <c r="AB67" s="76" t="inlineStr">
        <is>
          <t>Nan</t>
        </is>
      </c>
      <c r="AC67" s="76" t="inlineStr">
        <is>
          <t>Nan</t>
        </is>
      </c>
      <c r="AD67" s="76" t="inlineStr">
        <is>
          <t>Nan</t>
        </is>
      </c>
      <c r="AE67" s="76" t="inlineStr">
        <is>
          <t>Nan</t>
        </is>
      </c>
      <c r="AF67" s="76" t="inlineStr">
        <is>
          <t>Nan</t>
        </is>
      </c>
      <c r="AG67" s="76" t="inlineStr">
        <is>
          <t>Nan</t>
        </is>
      </c>
      <c r="AH67" s="76" t="inlineStr">
        <is>
          <t>Nan</t>
        </is>
      </c>
      <c r="AI67" s="76" t="inlineStr">
        <is>
          <t>Nan</t>
        </is>
      </c>
      <c r="AJ67" s="76" t="inlineStr">
        <is>
          <t>Nan</t>
        </is>
      </c>
      <c r="AK67" s="76" t="inlineStr">
        <is>
          <t>Nan</t>
        </is>
      </c>
      <c r="AL67" s="76" t="inlineStr">
        <is>
          <t>Nan</t>
        </is>
      </c>
      <c r="AM67" s="62" t="n">
        <v>2</v>
      </c>
      <c r="AN67" s="64" t="n">
        <v>1</v>
      </c>
      <c r="AO67" s="64" t="n">
        <v>1</v>
      </c>
      <c r="AP67" s="64" t="n">
        <v>4</v>
      </c>
      <c r="AQ67" s="64" t="n">
        <v>2</v>
      </c>
      <c r="AR67" s="64" t="n">
        <v>1</v>
      </c>
      <c r="AS67" s="64" t="n">
        <v>3</v>
      </c>
    </row>
    <row r="68" ht="18.75" customHeight="1">
      <c r="A68" s="60" t="inlineStr">
        <is>
          <t>Atmos Marlyn Cobalt (VTOL ala fija)</t>
        </is>
      </c>
      <c r="B68" s="76" t="inlineStr">
        <is>
          <t>Nan</t>
        </is>
      </c>
      <c r="C68" s="76" t="inlineStr">
        <is>
          <t>Nan</t>
        </is>
      </c>
      <c r="D68" s="75" t="n">
        <v>19.5</v>
      </c>
      <c r="E68" s="13" t="n">
        <v>16400</v>
      </c>
      <c r="F68" s="82" t="n">
        <v>14.4087033823693</v>
      </c>
      <c r="G68" s="76" t="inlineStr">
        <is>
          <t>Nan</t>
        </is>
      </c>
      <c r="H68" s="76" t="inlineStr">
        <is>
          <t>Nan</t>
        </is>
      </c>
      <c r="I68" s="76" t="inlineStr">
        <is>
          <t>Nan</t>
        </is>
      </c>
      <c r="J68" s="76" t="inlineStr">
        <is>
          <t>Nan</t>
        </is>
      </c>
      <c r="K68" s="76" t="inlineStr">
        <is>
          <t>Nan</t>
        </is>
      </c>
      <c r="L68" s="17" t="n">
        <v>6.4</v>
      </c>
      <c r="M68" s="85" t="n">
        <v>54.08</v>
      </c>
      <c r="N68" s="18" t="n">
        <v>0.83</v>
      </c>
      <c r="O68" s="76" t="inlineStr">
        <is>
          <t>Nan</t>
        </is>
      </c>
      <c r="P68" s="82" t="n">
        <v>14.4087033823693</v>
      </c>
      <c r="Q68" s="76" t="inlineStr">
        <is>
          <t>Nan</t>
        </is>
      </c>
      <c r="R68" s="76" t="inlineStr">
        <is>
          <t>Nan</t>
        </is>
      </c>
      <c r="S68" s="19" t="n">
        <v>1.6</v>
      </c>
      <c r="T68" s="76" t="inlineStr">
        <is>
          <t>Nan</t>
        </is>
      </c>
      <c r="U68" s="19" t="n">
        <v>15.3</v>
      </c>
      <c r="V68" s="76" t="inlineStr">
        <is>
          <t>Nan</t>
        </is>
      </c>
      <c r="W68" s="19" t="n">
        <v>18.1</v>
      </c>
      <c r="X68" s="76" t="inlineStr">
        <is>
          <t>Nan</t>
        </is>
      </c>
      <c r="Y68" s="76" t="inlineStr">
        <is>
          <t>Nan</t>
        </is>
      </c>
      <c r="Z68" s="76" t="inlineStr">
        <is>
          <t>Nan</t>
        </is>
      </c>
      <c r="AA68" s="83" t="n">
        <v>-8.9</v>
      </c>
      <c r="AB68" s="76" t="inlineStr">
        <is>
          <t>Nan</t>
        </is>
      </c>
      <c r="AC68" s="76" t="inlineStr">
        <is>
          <t>Nan</t>
        </is>
      </c>
      <c r="AD68" s="19" t="n">
        <v>7.5</v>
      </c>
      <c r="AE68" s="76" t="inlineStr">
        <is>
          <t>Nan</t>
        </is>
      </c>
      <c r="AF68" s="76" t="inlineStr">
        <is>
          <t>Nan</t>
        </is>
      </c>
      <c r="AG68" s="76" t="inlineStr">
        <is>
          <t>Nan</t>
        </is>
      </c>
      <c r="AH68" s="76" t="inlineStr">
        <is>
          <t>Nan</t>
        </is>
      </c>
      <c r="AI68" s="76" t="inlineStr">
        <is>
          <t>Nan</t>
        </is>
      </c>
      <c r="AJ68" s="76" t="inlineStr">
        <is>
          <t>Nan</t>
        </is>
      </c>
      <c r="AK68" s="76" t="inlineStr">
        <is>
          <t>Nan</t>
        </is>
      </c>
      <c r="AL68" s="76" t="inlineStr">
        <is>
          <t>Nan</t>
        </is>
      </c>
      <c r="AM68" s="62" t="n">
        <v>2</v>
      </c>
      <c r="AN68" s="64" t="n">
        <v>1</v>
      </c>
      <c r="AO68" s="64" t="n">
        <v>1</v>
      </c>
      <c r="AP68" s="64" t="n">
        <v>4</v>
      </c>
      <c r="AQ68" s="64" t="n">
        <v>4</v>
      </c>
      <c r="AR68" s="64" t="n">
        <v>1</v>
      </c>
      <c r="AS68" s="64" t="n">
        <v>3</v>
      </c>
    </row>
    <row r="69" ht="18.75" customHeight="1">
      <c r="A69" s="60" t="inlineStr">
        <is>
          <t>Aliaca VTOL UAS EVO</t>
        </is>
      </c>
      <c r="B69" s="76" t="inlineStr">
        <is>
          <t>Nan</t>
        </is>
      </c>
      <c r="C69" s="76" t="inlineStr">
        <is>
          <t>Nan</t>
        </is>
      </c>
      <c r="D69" s="76" t="inlineStr">
        <is>
          <t>Nan</t>
        </is>
      </c>
      <c r="E69" s="13" t="n">
        <v>10000</v>
      </c>
      <c r="F69" s="76" t="inlineStr">
        <is>
          <t>Nan</t>
        </is>
      </c>
      <c r="G69" s="76" t="inlineStr">
        <is>
          <t>Nan</t>
        </is>
      </c>
      <c r="H69" s="76" t="inlineStr">
        <is>
          <t>Nan</t>
        </is>
      </c>
      <c r="I69" s="15" t="n">
        <v>2.2</v>
      </c>
      <c r="J69" s="76" t="inlineStr">
        <is>
          <t>Nan</t>
        </is>
      </c>
      <c r="K69" s="76" t="inlineStr">
        <is>
          <t>Nan</t>
        </is>
      </c>
      <c r="L69" s="17" t="n">
        <v>27</v>
      </c>
      <c r="M69" s="76" t="inlineStr">
        <is>
          <t>Nan</t>
        </is>
      </c>
      <c r="N69" s="18" t="n">
        <v>3</v>
      </c>
      <c r="O69" s="82" t="n">
        <v>34.51681105500931</v>
      </c>
      <c r="P69" s="76" t="inlineStr">
        <is>
          <t>Nan</t>
        </is>
      </c>
      <c r="Q69" s="76" t="inlineStr">
        <is>
          <t>Nan</t>
        </is>
      </c>
      <c r="R69" s="76" t="inlineStr">
        <is>
          <t>Nan</t>
        </is>
      </c>
      <c r="S69" s="19" t="n">
        <v>3.5</v>
      </c>
      <c r="T69" s="76" t="inlineStr">
        <is>
          <t>Nan</t>
        </is>
      </c>
      <c r="U69" s="19" t="n">
        <v>2</v>
      </c>
      <c r="V69" s="76" t="inlineStr">
        <is>
          <t>Nan</t>
        </is>
      </c>
      <c r="W69" s="76" t="inlineStr">
        <is>
          <t>Nan</t>
        </is>
      </c>
      <c r="X69" s="76" t="inlineStr">
        <is>
          <t>Nan</t>
        </is>
      </c>
      <c r="Y69" s="76" t="inlineStr">
        <is>
          <t>Nan</t>
        </is>
      </c>
      <c r="Z69" s="76" t="inlineStr">
        <is>
          <t>Nan</t>
        </is>
      </c>
      <c r="AA69" s="19" t="n">
        <v>25</v>
      </c>
      <c r="AB69" s="76" t="inlineStr">
        <is>
          <t>Nan</t>
        </is>
      </c>
      <c r="AC69" s="19" t="n">
        <v>13.8</v>
      </c>
      <c r="AD69" s="19" t="n">
        <v>50</v>
      </c>
      <c r="AE69" s="76" t="inlineStr">
        <is>
          <t>Nan</t>
        </is>
      </c>
      <c r="AF69" s="76" t="inlineStr">
        <is>
          <t>Nan</t>
        </is>
      </c>
      <c r="AG69" s="76" t="inlineStr">
        <is>
          <t>Nan</t>
        </is>
      </c>
      <c r="AH69" s="76" t="inlineStr">
        <is>
          <t>Nan</t>
        </is>
      </c>
      <c r="AI69" s="76" t="inlineStr">
        <is>
          <t>Nan</t>
        </is>
      </c>
      <c r="AJ69" s="76" t="inlineStr">
        <is>
          <t>Nan</t>
        </is>
      </c>
      <c r="AK69" s="76" t="inlineStr">
        <is>
          <t>Nan</t>
        </is>
      </c>
      <c r="AL69" s="76" t="inlineStr">
        <is>
          <t>Nan</t>
        </is>
      </c>
      <c r="AM69" s="62" t="n">
        <v>2</v>
      </c>
      <c r="AN69" s="64" t="n">
        <v>1</v>
      </c>
      <c r="AO69" s="64" t="n">
        <v>1</v>
      </c>
      <c r="AP69" s="64" t="n">
        <v>4</v>
      </c>
      <c r="AQ69" s="64" t="n">
        <v>1</v>
      </c>
      <c r="AR69" s="64" t="n">
        <v>1</v>
      </c>
      <c r="AS69" s="64" t="n">
        <v>1</v>
      </c>
    </row>
    <row r="70" ht="18.75" customHeight="1">
      <c r="A70" s="60" t="inlineStr">
        <is>
          <t>Aliaca VTOL UAS ER</t>
        </is>
      </c>
      <c r="B70" s="76" t="inlineStr">
        <is>
          <t>Nan</t>
        </is>
      </c>
      <c r="C70" s="76" t="inlineStr">
        <is>
          <t>Nan</t>
        </is>
      </c>
      <c r="D70" s="76" t="inlineStr">
        <is>
          <t>Nan</t>
        </is>
      </c>
      <c r="E70" s="13" t="n">
        <v>10000</v>
      </c>
      <c r="F70" s="76" t="inlineStr">
        <is>
          <t>Nan</t>
        </is>
      </c>
      <c r="G70" s="76" t="inlineStr">
        <is>
          <t>Nan</t>
        </is>
      </c>
      <c r="H70" s="76" t="inlineStr">
        <is>
          <t>Nan</t>
        </is>
      </c>
      <c r="I70" s="15" t="n">
        <v>2.2</v>
      </c>
      <c r="J70" s="76" t="inlineStr">
        <is>
          <t>Nan</t>
        </is>
      </c>
      <c r="K70" s="76" t="inlineStr">
        <is>
          <t>Nan</t>
        </is>
      </c>
      <c r="L70" s="17" t="n">
        <v>27</v>
      </c>
      <c r="M70" s="76" t="inlineStr">
        <is>
          <t>Nan</t>
        </is>
      </c>
      <c r="N70" s="18" t="n">
        <v>6</v>
      </c>
      <c r="O70" s="76" t="inlineStr">
        <is>
          <t>Nan</t>
        </is>
      </c>
      <c r="P70" s="76" t="inlineStr">
        <is>
          <t>Nan</t>
        </is>
      </c>
      <c r="Q70" s="76" t="inlineStr">
        <is>
          <t>Nan</t>
        </is>
      </c>
      <c r="R70" s="76" t="inlineStr">
        <is>
          <t>Nan</t>
        </is>
      </c>
      <c r="S70" s="19" t="n">
        <v>3.5</v>
      </c>
      <c r="T70" s="76" t="inlineStr">
        <is>
          <t>Nan</t>
        </is>
      </c>
      <c r="U70" s="19" t="n">
        <v>3</v>
      </c>
      <c r="V70" s="76" t="inlineStr">
        <is>
          <t>Nan</t>
        </is>
      </c>
      <c r="W70" s="76" t="inlineStr">
        <is>
          <t>Nan</t>
        </is>
      </c>
      <c r="X70" s="76" t="inlineStr">
        <is>
          <t>Nan</t>
        </is>
      </c>
      <c r="Y70" s="76" t="inlineStr">
        <is>
          <t>Nan</t>
        </is>
      </c>
      <c r="Z70" s="76" t="inlineStr">
        <is>
          <t>Nan</t>
        </is>
      </c>
      <c r="AA70" s="19" t="n">
        <v>24</v>
      </c>
      <c r="AB70" s="76" t="inlineStr">
        <is>
          <t>Nan</t>
        </is>
      </c>
      <c r="AC70" s="76" t="inlineStr">
        <is>
          <t>Nan</t>
        </is>
      </c>
      <c r="AD70" s="19" t="n">
        <v>80</v>
      </c>
      <c r="AE70" s="76" t="inlineStr">
        <is>
          <t>Nan</t>
        </is>
      </c>
      <c r="AF70" s="76" t="inlineStr">
        <is>
          <t>Nan</t>
        </is>
      </c>
      <c r="AG70" s="76" t="inlineStr">
        <is>
          <t>Nan</t>
        </is>
      </c>
      <c r="AH70" s="76" t="inlineStr">
        <is>
          <t>Nan</t>
        </is>
      </c>
      <c r="AI70" s="76" t="inlineStr">
        <is>
          <t>Nan</t>
        </is>
      </c>
      <c r="AJ70" s="76" t="inlineStr">
        <is>
          <t>Nan</t>
        </is>
      </c>
      <c r="AK70" s="76" t="inlineStr">
        <is>
          <t>Nan</t>
        </is>
      </c>
      <c r="AL70" s="76" t="inlineStr">
        <is>
          <t>Nan</t>
        </is>
      </c>
      <c r="AM70" s="62" t="n">
        <v>2</v>
      </c>
      <c r="AN70" s="64" t="n">
        <v>1</v>
      </c>
      <c r="AO70" s="64" t="n">
        <v>2</v>
      </c>
      <c r="AP70" s="64" t="n">
        <v>4</v>
      </c>
      <c r="AQ70" s="64" t="n">
        <v>1</v>
      </c>
      <c r="AR70" s="64" t="n">
        <v>1</v>
      </c>
      <c r="AS70" s="64" t="n">
        <v>1</v>
      </c>
    </row>
    <row r="71" ht="18.75" customHeight="1">
      <c r="A71" s="60" t="inlineStr">
        <is>
          <t>Aliaca UAS EVO</t>
        </is>
      </c>
      <c r="B71" s="76" t="inlineStr">
        <is>
          <t>Nan</t>
        </is>
      </c>
      <c r="C71" s="76" t="inlineStr">
        <is>
          <t>Nan</t>
        </is>
      </c>
      <c r="D71" s="75" t="n">
        <v>19.39</v>
      </c>
      <c r="E71" s="76" t="inlineStr">
        <is>
          <t>Nan</t>
        </is>
      </c>
      <c r="F71" s="76" t="inlineStr">
        <is>
          <t>Nan</t>
        </is>
      </c>
      <c r="G71" s="82" t="n">
        <v>1.309302447529195</v>
      </c>
      <c r="H71" s="82" t="n">
        <v>15.21736414563707</v>
      </c>
      <c r="I71" s="15" t="n">
        <v>2.1</v>
      </c>
      <c r="J71" s="76" t="inlineStr">
        <is>
          <t>Nan</t>
        </is>
      </c>
      <c r="K71" s="82" t="n">
        <v>0.1811749229168133</v>
      </c>
      <c r="L71" s="100" t="n">
        <v>16</v>
      </c>
      <c r="M71" s="85" t="n">
        <v>194.4</v>
      </c>
      <c r="N71" s="18" t="n">
        <v>3</v>
      </c>
      <c r="O71" s="18" t="n">
        <v>28</v>
      </c>
      <c r="P71" s="76" t="inlineStr">
        <is>
          <t>Nan</t>
        </is>
      </c>
      <c r="Q71" s="76" t="inlineStr">
        <is>
          <t>Nan</t>
        </is>
      </c>
      <c r="R71" s="76" t="inlineStr">
        <is>
          <t>Nan</t>
        </is>
      </c>
      <c r="S71" s="19" t="n">
        <v>3.6</v>
      </c>
      <c r="T71" s="82" t="n">
        <v>0.2389999999999999</v>
      </c>
      <c r="U71" s="92" t="n">
        <v>2</v>
      </c>
      <c r="V71" s="76" t="inlineStr">
        <is>
          <t>Nan</t>
        </is>
      </c>
      <c r="W71" s="19" t="n">
        <v>18</v>
      </c>
      <c r="X71" s="76" t="inlineStr">
        <is>
          <t>Nan</t>
        </is>
      </c>
      <c r="Y71" s="76" t="inlineStr">
        <is>
          <t>Nan</t>
        </is>
      </c>
      <c r="Z71" s="76" t="inlineStr">
        <is>
          <t>Nan</t>
        </is>
      </c>
      <c r="AA71" s="92" t="n">
        <v>14.5</v>
      </c>
      <c r="AB71" s="76" t="inlineStr">
        <is>
          <t>Nan</t>
        </is>
      </c>
      <c r="AC71" s="76" t="inlineStr">
        <is>
          <t>Nan</t>
        </is>
      </c>
      <c r="AD71" s="19" t="n">
        <v>50</v>
      </c>
      <c r="AE71" s="76" t="inlineStr">
        <is>
          <t>Nan</t>
        </is>
      </c>
      <c r="AF71" s="76" t="inlineStr">
        <is>
          <t>Nan</t>
        </is>
      </c>
      <c r="AG71" s="76" t="inlineStr">
        <is>
          <t>Nan</t>
        </is>
      </c>
      <c r="AH71" s="76" t="inlineStr">
        <is>
          <t>Nan</t>
        </is>
      </c>
      <c r="AI71" s="76" t="inlineStr">
        <is>
          <t>Nan</t>
        </is>
      </c>
      <c r="AJ71" s="76" t="inlineStr">
        <is>
          <t>Nan</t>
        </is>
      </c>
      <c r="AK71" s="76" t="inlineStr">
        <is>
          <t>Nan</t>
        </is>
      </c>
      <c r="AL71" s="76" t="inlineStr">
        <is>
          <t>Nan</t>
        </is>
      </c>
      <c r="AM71" s="62" t="n">
        <v>1</v>
      </c>
      <c r="AN71" s="64" t="n">
        <v>1</v>
      </c>
      <c r="AO71" s="64" t="n">
        <v>0</v>
      </c>
      <c r="AP71" s="64" t="n">
        <v>0</v>
      </c>
      <c r="AQ71" s="64" t="n">
        <v>1</v>
      </c>
      <c r="AR71" s="64" t="n">
        <v>1</v>
      </c>
      <c r="AS71" s="64" t="n">
        <v>1</v>
      </c>
    </row>
    <row r="72" ht="18.75" customHeight="1">
      <c r="A72" s="60" t="inlineStr">
        <is>
          <t>Aliaca UAS ER</t>
        </is>
      </c>
      <c r="B72" s="76" t="inlineStr">
        <is>
          <t>Nan</t>
        </is>
      </c>
      <c r="C72" s="76" t="inlineStr">
        <is>
          <t>Nan</t>
        </is>
      </c>
      <c r="D72" s="75" t="n">
        <v>19.39</v>
      </c>
      <c r="E72" s="76" t="inlineStr">
        <is>
          <t>Nan</t>
        </is>
      </c>
      <c r="F72" s="76" t="inlineStr">
        <is>
          <t>Nan</t>
        </is>
      </c>
      <c r="G72" s="82" t="n">
        <v>1.1582832</v>
      </c>
      <c r="H72" s="82" t="n">
        <v>15.21736414563707</v>
      </c>
      <c r="I72" s="15" t="n">
        <v>2.1</v>
      </c>
      <c r="J72" s="76" t="inlineStr">
        <is>
          <t>Nan</t>
        </is>
      </c>
      <c r="K72" s="82" t="n">
        <v>0.1811749229168133</v>
      </c>
      <c r="L72" s="17" t="n">
        <v>16</v>
      </c>
      <c r="M72" s="85" t="n">
        <v>388.8</v>
      </c>
      <c r="N72" s="18" t="n">
        <v>6</v>
      </c>
      <c r="O72" s="76" t="inlineStr">
        <is>
          <t>Nan</t>
        </is>
      </c>
      <c r="P72" s="76" t="inlineStr">
        <is>
          <t>Nan</t>
        </is>
      </c>
      <c r="Q72" s="76" t="inlineStr">
        <is>
          <t>Nan</t>
        </is>
      </c>
      <c r="R72" s="76" t="inlineStr">
        <is>
          <t>Nan</t>
        </is>
      </c>
      <c r="S72" s="19" t="n">
        <v>3.6</v>
      </c>
      <c r="T72" s="82" t="n">
        <v>0.2389999999999999</v>
      </c>
      <c r="U72" s="19" t="n">
        <v>1.5</v>
      </c>
      <c r="V72" s="76" t="inlineStr">
        <is>
          <t>Nan</t>
        </is>
      </c>
      <c r="W72" s="19" t="n">
        <v>18</v>
      </c>
      <c r="X72" s="76" t="inlineStr">
        <is>
          <t>Nan</t>
        </is>
      </c>
      <c r="Y72" s="76" t="inlineStr">
        <is>
          <t>Nan</t>
        </is>
      </c>
      <c r="Z72" s="76" t="inlineStr">
        <is>
          <t>Nan</t>
        </is>
      </c>
      <c r="AA72" s="19" t="n">
        <v>14.5</v>
      </c>
      <c r="AB72" s="76" t="inlineStr">
        <is>
          <t>Nan</t>
        </is>
      </c>
      <c r="AC72" s="76" t="inlineStr">
        <is>
          <t>Nan</t>
        </is>
      </c>
      <c r="AD72" s="19" t="n">
        <v>100</v>
      </c>
      <c r="AE72" s="76" t="inlineStr">
        <is>
          <t>Nan</t>
        </is>
      </c>
      <c r="AF72" s="76" t="inlineStr">
        <is>
          <t>Nan</t>
        </is>
      </c>
      <c r="AG72" s="76" t="inlineStr">
        <is>
          <t>Nan</t>
        </is>
      </c>
      <c r="AH72" s="76" t="inlineStr">
        <is>
          <t>Nan</t>
        </is>
      </c>
      <c r="AI72" s="76" t="inlineStr">
        <is>
          <t>Nan</t>
        </is>
      </c>
      <c r="AJ72" s="76" t="inlineStr">
        <is>
          <t>Nan</t>
        </is>
      </c>
      <c r="AK72" s="76" t="inlineStr">
        <is>
          <t>Nan</t>
        </is>
      </c>
      <c r="AL72" s="76" t="inlineStr">
        <is>
          <t>Nan</t>
        </is>
      </c>
      <c r="AM72" s="62" t="n">
        <v>1</v>
      </c>
      <c r="AN72" s="64" t="n">
        <v>2</v>
      </c>
      <c r="AO72" s="64" t="n">
        <v>0</v>
      </c>
      <c r="AP72" s="64" t="n">
        <v>0</v>
      </c>
      <c r="AQ72" s="64" t="n">
        <v>1</v>
      </c>
      <c r="AR72" s="64" t="n">
        <v>1</v>
      </c>
      <c r="AS72" s="64" t="n">
        <v>1</v>
      </c>
    </row>
    <row r="73" ht="18.75" customHeight="1">
      <c r="A73" s="60" t="inlineStr">
        <is>
          <t>Shield AI V-BAT 128</t>
        </is>
      </c>
      <c r="B73" s="76" t="inlineStr">
        <is>
          <t>Nan</t>
        </is>
      </c>
      <c r="C73" s="76" t="inlineStr">
        <is>
          <t>Nan</t>
        </is>
      </c>
      <c r="D73" s="75" t="n">
        <v>14.11</v>
      </c>
      <c r="E73" s="13" t="n">
        <v>18000</v>
      </c>
      <c r="F73" s="76" t="inlineStr">
        <is>
          <t>Nan</t>
        </is>
      </c>
      <c r="G73" s="76" t="inlineStr">
        <is>
          <t>Nan</t>
        </is>
      </c>
      <c r="H73" s="76" t="inlineStr">
        <is>
          <t>Nan</t>
        </is>
      </c>
      <c r="I73" s="15" t="n">
        <v>2.74</v>
      </c>
      <c r="J73" s="76" t="inlineStr">
        <is>
          <t>Nan</t>
        </is>
      </c>
      <c r="K73" s="76" t="inlineStr">
        <is>
          <t>Nan</t>
        </is>
      </c>
      <c r="L73" s="17" t="n">
        <v>73</v>
      </c>
      <c r="M73" s="85" t="n">
        <v>613.08</v>
      </c>
      <c r="N73" s="18" t="n">
        <v>13</v>
      </c>
      <c r="O73" s="18" t="n">
        <v>25</v>
      </c>
      <c r="P73" s="76" t="inlineStr">
        <is>
          <t>Nan</t>
        </is>
      </c>
      <c r="Q73" s="76" t="inlineStr">
        <is>
          <t>Nan</t>
        </is>
      </c>
      <c r="R73" s="76" t="inlineStr">
        <is>
          <t>Nan</t>
        </is>
      </c>
      <c r="S73" s="19" t="n">
        <v>2.9</v>
      </c>
      <c r="T73" s="76" t="inlineStr">
        <is>
          <t>Nan</t>
        </is>
      </c>
      <c r="U73" s="19" t="n">
        <v>11.3</v>
      </c>
      <c r="V73" s="76" t="inlineStr">
        <is>
          <t>Nan</t>
        </is>
      </c>
      <c r="W73" s="19" t="n">
        <v>13.1</v>
      </c>
      <c r="X73" s="76" t="inlineStr">
        <is>
          <t>Nan</t>
        </is>
      </c>
      <c r="Y73" s="76" t="inlineStr">
        <is>
          <t>Nan</t>
        </is>
      </c>
      <c r="Z73" s="76" t="inlineStr">
        <is>
          <t>Nan</t>
        </is>
      </c>
      <c r="AA73" s="83" t="n">
        <v>61.7</v>
      </c>
      <c r="AB73" s="76" t="inlineStr">
        <is>
          <t>Nan</t>
        </is>
      </c>
      <c r="AC73" s="76" t="inlineStr">
        <is>
          <t>Nan</t>
        </is>
      </c>
      <c r="AD73" s="19" t="n">
        <v>130</v>
      </c>
      <c r="AE73" s="76" t="inlineStr">
        <is>
          <t>Nan</t>
        </is>
      </c>
      <c r="AF73" s="76" t="inlineStr">
        <is>
          <t>Nan</t>
        </is>
      </c>
      <c r="AG73" s="76" t="inlineStr">
        <is>
          <t>Nan</t>
        </is>
      </c>
      <c r="AH73" s="76" t="inlineStr">
        <is>
          <t>Nan</t>
        </is>
      </c>
      <c r="AI73" s="76" t="inlineStr">
        <is>
          <t>Nan</t>
        </is>
      </c>
      <c r="AJ73" s="19" t="n">
        <v>23</v>
      </c>
      <c r="AK73" s="76" t="inlineStr">
        <is>
          <t>Nan</t>
        </is>
      </c>
      <c r="AL73" s="76" t="inlineStr">
        <is>
          <t>Nan</t>
        </is>
      </c>
      <c r="AM73" s="62" t="n">
        <v>2</v>
      </c>
      <c r="AN73" s="64" t="n">
        <v>2</v>
      </c>
      <c r="AO73" s="64" t="n">
        <v>2</v>
      </c>
      <c r="AP73" s="64" t="n">
        <v>1</v>
      </c>
      <c r="AQ73" s="64" t="n">
        <v>1</v>
      </c>
      <c r="AR73" s="64" t="n">
        <v>1</v>
      </c>
      <c r="AS73" s="64" t="n">
        <v>1</v>
      </c>
    </row>
    <row r="74" ht="18.75" customHeight="1">
      <c r="A74" s="60" t="inlineStr">
        <is>
          <t>AeroVironment JUMP 20</t>
        </is>
      </c>
      <c r="B74" s="76" t="inlineStr">
        <is>
          <t>Nan</t>
        </is>
      </c>
      <c r="C74" s="76" t="inlineStr">
        <is>
          <t>Nan</t>
        </is>
      </c>
      <c r="D74" s="75" t="n">
        <v>27.79</v>
      </c>
      <c r="E74" s="13" t="n">
        <v>17000</v>
      </c>
      <c r="F74" s="76" t="inlineStr">
        <is>
          <t>Nan</t>
        </is>
      </c>
      <c r="G74" s="82" t="n">
        <v>2.556145734294742</v>
      </c>
      <c r="H74" s="76" t="inlineStr">
        <is>
          <t>Nan</t>
        </is>
      </c>
      <c r="I74" s="15" t="n">
        <v>2.9</v>
      </c>
      <c r="J74" s="76" t="inlineStr">
        <is>
          <t>Nan</t>
        </is>
      </c>
      <c r="K74" s="76" t="inlineStr">
        <is>
          <t>Nan</t>
        </is>
      </c>
      <c r="L74" s="17" t="n">
        <v>97.5</v>
      </c>
      <c r="M74" s="85" t="n">
        <v>1207.44</v>
      </c>
      <c r="N74" s="18" t="n">
        <v>13</v>
      </c>
      <c r="O74" s="82" t="n">
        <v>41.44066058286599</v>
      </c>
      <c r="P74" s="76" t="inlineStr">
        <is>
          <t>Nan</t>
        </is>
      </c>
      <c r="Q74" s="76" t="inlineStr">
        <is>
          <t>Nan</t>
        </is>
      </c>
      <c r="R74" s="76" t="inlineStr">
        <is>
          <t>Nan</t>
        </is>
      </c>
      <c r="S74" s="19" t="n">
        <v>5.7</v>
      </c>
      <c r="T74" s="76" t="inlineStr">
        <is>
          <t>Nan</t>
        </is>
      </c>
      <c r="U74" s="19" t="n">
        <v>13</v>
      </c>
      <c r="V74" s="76" t="inlineStr">
        <is>
          <t>Nan</t>
        </is>
      </c>
      <c r="W74" s="19" t="n">
        <v>25.8</v>
      </c>
      <c r="X74" s="76" t="inlineStr">
        <is>
          <t>Nan</t>
        </is>
      </c>
      <c r="Y74" s="76" t="inlineStr">
        <is>
          <t>Nan</t>
        </is>
      </c>
      <c r="Z74" s="76" t="inlineStr">
        <is>
          <t>Nan</t>
        </is>
      </c>
      <c r="AA74" s="83" t="n">
        <v>84.5</v>
      </c>
      <c r="AB74" s="76" t="inlineStr">
        <is>
          <t>Nan</t>
        </is>
      </c>
      <c r="AC74" s="76" t="inlineStr">
        <is>
          <t>Nan</t>
        </is>
      </c>
      <c r="AD74" s="19" t="n">
        <v>185</v>
      </c>
      <c r="AE74" s="76" t="inlineStr">
        <is>
          <t>Nan</t>
        </is>
      </c>
      <c r="AF74" s="76" t="inlineStr">
        <is>
          <t>Nan</t>
        </is>
      </c>
      <c r="AG74" s="76" t="inlineStr">
        <is>
          <t>Nan</t>
        </is>
      </c>
      <c r="AH74" s="76" t="inlineStr">
        <is>
          <t>Nan</t>
        </is>
      </c>
      <c r="AI74" s="76" t="inlineStr">
        <is>
          <t>Nan</t>
        </is>
      </c>
      <c r="AJ74" s="76" t="inlineStr">
        <is>
          <t>Nan</t>
        </is>
      </c>
      <c r="AK74" s="76" t="inlineStr">
        <is>
          <t>Nan</t>
        </is>
      </c>
      <c r="AL74" s="76" t="inlineStr">
        <is>
          <t>Nan</t>
        </is>
      </c>
      <c r="AM74" s="62" t="n">
        <v>2</v>
      </c>
      <c r="AN74" s="64" t="n">
        <v>2</v>
      </c>
      <c r="AO74" s="64" t="n">
        <v>1</v>
      </c>
      <c r="AP74" s="64" t="n">
        <v>1</v>
      </c>
      <c r="AQ74" s="64" t="n">
        <v>4</v>
      </c>
      <c r="AR74" s="64" t="n">
        <v>1</v>
      </c>
      <c r="AS74" s="64" t="n">
        <v>1</v>
      </c>
    </row>
    <row r="75" ht="18.75" customHeight="1">
      <c r="A75" s="60" t="inlineStr">
        <is>
          <t>AeroVironment JUMP 20-X</t>
        </is>
      </c>
      <c r="B75" s="76" t="inlineStr">
        <is>
          <t>Nan</t>
        </is>
      </c>
      <c r="C75" s="76" t="inlineStr">
        <is>
          <t>Nan</t>
        </is>
      </c>
      <c r="D75" s="75" t="n">
        <v>27.79</v>
      </c>
      <c r="E75" s="13" t="n">
        <v>17000</v>
      </c>
      <c r="F75" s="76" t="inlineStr">
        <is>
          <t>Nan</t>
        </is>
      </c>
      <c r="G75" s="82" t="n">
        <v>2.556145734294742</v>
      </c>
      <c r="H75" s="76" t="inlineStr">
        <is>
          <t>Nan</t>
        </is>
      </c>
      <c r="I75" s="15" t="n">
        <v>2.9</v>
      </c>
      <c r="J75" s="76" t="inlineStr">
        <is>
          <t>Nan</t>
        </is>
      </c>
      <c r="K75" s="76" t="inlineStr">
        <is>
          <t>Nan</t>
        </is>
      </c>
      <c r="L75" s="17" t="n">
        <v>97.5</v>
      </c>
      <c r="M75" s="85" t="n">
        <v>1207.44</v>
      </c>
      <c r="N75" s="18" t="n">
        <v>13</v>
      </c>
      <c r="O75" s="82" t="n">
        <v>41.44066058286599</v>
      </c>
      <c r="P75" s="76" t="inlineStr">
        <is>
          <t>Nan</t>
        </is>
      </c>
      <c r="Q75" s="76" t="inlineStr">
        <is>
          <t>Nan</t>
        </is>
      </c>
      <c r="R75" s="76" t="inlineStr">
        <is>
          <t>Nan</t>
        </is>
      </c>
      <c r="S75" s="19" t="n">
        <v>5.7</v>
      </c>
      <c r="T75" s="76" t="inlineStr">
        <is>
          <t>Nan</t>
        </is>
      </c>
      <c r="U75" s="19" t="n">
        <v>13.6</v>
      </c>
      <c r="V75" s="76" t="inlineStr">
        <is>
          <t>Nan</t>
        </is>
      </c>
      <c r="W75" s="19" t="n">
        <v>25.8</v>
      </c>
      <c r="X75" s="76" t="inlineStr">
        <is>
          <t>Nan</t>
        </is>
      </c>
      <c r="Y75" s="76" t="inlineStr">
        <is>
          <t>Nan</t>
        </is>
      </c>
      <c r="Z75" s="76" t="inlineStr">
        <is>
          <t>Nan</t>
        </is>
      </c>
      <c r="AA75" s="83" t="n">
        <v>83.90000000000001</v>
      </c>
      <c r="AB75" s="76" t="inlineStr">
        <is>
          <t>Nan</t>
        </is>
      </c>
      <c r="AC75" s="76" t="inlineStr">
        <is>
          <t>Nan</t>
        </is>
      </c>
      <c r="AD75" s="19" t="n">
        <v>185</v>
      </c>
      <c r="AE75" s="76" t="inlineStr">
        <is>
          <t>Nan</t>
        </is>
      </c>
      <c r="AF75" s="76" t="inlineStr">
        <is>
          <t>Nan</t>
        </is>
      </c>
      <c r="AG75" s="76" t="inlineStr">
        <is>
          <t>Nan</t>
        </is>
      </c>
      <c r="AH75" s="76" t="inlineStr">
        <is>
          <t>Nan</t>
        </is>
      </c>
      <c r="AI75" s="76" t="inlineStr">
        <is>
          <t>Nan</t>
        </is>
      </c>
      <c r="AJ75" s="76" t="inlineStr">
        <is>
          <t>Nan</t>
        </is>
      </c>
      <c r="AK75" s="76" t="inlineStr">
        <is>
          <t>Nan</t>
        </is>
      </c>
      <c r="AL75" s="76" t="inlineStr">
        <is>
          <t>Nan</t>
        </is>
      </c>
      <c r="AM75" s="62" t="n">
        <v>2</v>
      </c>
      <c r="AN75" s="64" t="n">
        <v>2</v>
      </c>
      <c r="AO75" s="64" t="n">
        <v>1</v>
      </c>
      <c r="AP75" s="64" t="n">
        <v>1</v>
      </c>
      <c r="AQ75" s="64" t="n">
        <v>4</v>
      </c>
      <c r="AR75" s="64" t="n">
        <v>1</v>
      </c>
      <c r="AS75" s="64" t="n">
        <v>1</v>
      </c>
    </row>
    <row r="76" ht="18.75" customHeight="1">
      <c r="A76" s="60" t="inlineStr">
        <is>
          <t>T-20</t>
        </is>
      </c>
      <c r="B76" s="76" t="inlineStr">
        <is>
          <t>Nan</t>
        </is>
      </c>
      <c r="C76" s="76" t="inlineStr">
        <is>
          <t>Nan</t>
        </is>
      </c>
      <c r="D76" s="75" t="n">
        <v>33.21</v>
      </c>
      <c r="E76" s="13" t="n">
        <v>25000</v>
      </c>
      <c r="F76" s="76" t="inlineStr">
        <is>
          <t>Nan</t>
        </is>
      </c>
      <c r="G76" s="82" t="n">
        <v>1.069687872448058</v>
      </c>
      <c r="H76" s="93" t="n">
        <v>12.59714372311251</v>
      </c>
      <c r="I76" s="15" t="n">
        <v>2.9</v>
      </c>
      <c r="J76" s="76" t="inlineStr">
        <is>
          <t>Nan</t>
        </is>
      </c>
      <c r="K76" s="82" t="n">
        <v>0.2742075830097209</v>
      </c>
      <c r="L76" s="17" t="n">
        <v>84</v>
      </c>
      <c r="M76" s="85" t="n">
        <v>2663.71</v>
      </c>
      <c r="N76" s="18" t="n">
        <v>24</v>
      </c>
      <c r="O76" s="18" t="n">
        <v>38.61</v>
      </c>
      <c r="P76" s="76" t="inlineStr">
        <is>
          <t>Nan</t>
        </is>
      </c>
      <c r="Q76" s="76" t="inlineStr">
        <is>
          <t>Nan</t>
        </is>
      </c>
      <c r="R76" s="76" t="inlineStr">
        <is>
          <t>Nan</t>
        </is>
      </c>
      <c r="S76" s="94" t="n">
        <v>5.3</v>
      </c>
      <c r="T76" s="93" t="n">
        <v>0.3464441573768018</v>
      </c>
      <c r="U76" s="19" t="n">
        <v>15</v>
      </c>
      <c r="V76" s="76" t="inlineStr">
        <is>
          <t>Nan</t>
        </is>
      </c>
      <c r="W76" s="19" t="n">
        <v>30.83</v>
      </c>
      <c r="X76" s="76" t="inlineStr">
        <is>
          <t>Nan</t>
        </is>
      </c>
      <c r="Y76" s="76" t="inlineStr">
        <is>
          <t>Nan</t>
        </is>
      </c>
      <c r="Z76" s="76" t="inlineStr">
        <is>
          <t>Nan</t>
        </is>
      </c>
      <c r="AA76" s="83" t="n">
        <v>69</v>
      </c>
      <c r="AB76" s="76" t="inlineStr">
        <is>
          <t>Nan</t>
        </is>
      </c>
      <c r="AC76" s="76" t="inlineStr">
        <is>
          <t>Nan</t>
        </is>
      </c>
      <c r="AD76" s="19" t="n">
        <v>89</v>
      </c>
      <c r="AE76" s="76" t="inlineStr">
        <is>
          <t>Nan</t>
        </is>
      </c>
      <c r="AF76" s="76" t="inlineStr">
        <is>
          <t>Nan</t>
        </is>
      </c>
      <c r="AG76" s="76" t="inlineStr">
        <is>
          <t>Nan</t>
        </is>
      </c>
      <c r="AH76" s="76" t="inlineStr">
        <is>
          <t>Nan</t>
        </is>
      </c>
      <c r="AI76" s="76" t="inlineStr">
        <is>
          <t>Nan</t>
        </is>
      </c>
      <c r="AJ76" s="19" t="n">
        <v>10</v>
      </c>
      <c r="AK76" s="76" t="inlineStr">
        <is>
          <t>Nan</t>
        </is>
      </c>
      <c r="AL76" s="76" t="inlineStr">
        <is>
          <t>Nan</t>
        </is>
      </c>
      <c r="AM76" s="62" t="n">
        <v>1</v>
      </c>
      <c r="AN76" s="64" t="n">
        <v>2</v>
      </c>
      <c r="AO76" s="64" t="n">
        <v>0</v>
      </c>
      <c r="AP76" s="64" t="n">
        <v>0</v>
      </c>
      <c r="AQ76" s="64" t="n">
        <v>1</v>
      </c>
      <c r="AR76" s="64" t="n">
        <v>1</v>
      </c>
      <c r="AS76" s="64" t="n">
        <v>1</v>
      </c>
    </row>
    <row r="77" ht="18.75" customHeight="1">
      <c r="A77" s="60" t="inlineStr">
        <is>
          <t>P550</t>
        </is>
      </c>
      <c r="B77" s="76" t="inlineStr">
        <is>
          <t>Nan</t>
        </is>
      </c>
      <c r="C77" s="76" t="inlineStr">
        <is>
          <t>Nan</t>
        </is>
      </c>
      <c r="D77" s="76" t="inlineStr">
        <is>
          <t>Nan</t>
        </is>
      </c>
      <c r="E77" s="13" t="n">
        <v>12000</v>
      </c>
      <c r="F77" s="76" t="inlineStr">
        <is>
          <t>Nan</t>
        </is>
      </c>
      <c r="G77" s="76" t="inlineStr">
        <is>
          <t>Nan</t>
        </is>
      </c>
      <c r="H77" s="76" t="inlineStr">
        <is>
          <t>Nan</t>
        </is>
      </c>
      <c r="I77" s="15" t="n">
        <v>2.8</v>
      </c>
      <c r="J77" s="76" t="inlineStr">
        <is>
          <t>Nan</t>
        </is>
      </c>
      <c r="K77" s="76" t="inlineStr">
        <is>
          <t>Nan</t>
        </is>
      </c>
      <c r="L77" s="17" t="n">
        <v>25</v>
      </c>
      <c r="M77" s="76" t="inlineStr">
        <is>
          <t>Nan</t>
        </is>
      </c>
      <c r="N77" s="18" t="n">
        <v>5</v>
      </c>
      <c r="O77" s="76" t="inlineStr">
        <is>
          <t>Nan</t>
        </is>
      </c>
      <c r="P77" s="76" t="inlineStr">
        <is>
          <t>Nan</t>
        </is>
      </c>
      <c r="Q77" s="76" t="inlineStr">
        <is>
          <t>Nan</t>
        </is>
      </c>
      <c r="R77" s="76" t="inlineStr">
        <is>
          <t>Nan</t>
        </is>
      </c>
      <c r="S77" s="19" t="n">
        <v>5.2</v>
      </c>
      <c r="T77" s="76" t="inlineStr">
        <is>
          <t>Nan</t>
        </is>
      </c>
      <c r="U77" s="19" t="n">
        <v>6.8</v>
      </c>
      <c r="V77" s="76" t="inlineStr">
        <is>
          <t>Nan</t>
        </is>
      </c>
      <c r="W77" s="76" t="inlineStr">
        <is>
          <t>Nan</t>
        </is>
      </c>
      <c r="X77" s="76" t="inlineStr">
        <is>
          <t>Nan</t>
        </is>
      </c>
      <c r="Y77" s="76" t="inlineStr">
        <is>
          <t>Nan</t>
        </is>
      </c>
      <c r="Z77" s="76" t="inlineStr">
        <is>
          <t>Nan</t>
        </is>
      </c>
      <c r="AA77" s="83" t="n">
        <v>18.2</v>
      </c>
      <c r="AB77" s="76" t="inlineStr">
        <is>
          <t>Nan</t>
        </is>
      </c>
      <c r="AC77" s="76" t="inlineStr">
        <is>
          <t>Nan</t>
        </is>
      </c>
      <c r="AD77" s="19" t="n">
        <v>60</v>
      </c>
      <c r="AE77" s="76" t="inlineStr">
        <is>
          <t>Nan</t>
        </is>
      </c>
      <c r="AF77" s="76" t="inlineStr">
        <is>
          <t>Nan</t>
        </is>
      </c>
      <c r="AG77" s="76" t="inlineStr">
        <is>
          <t>Nan</t>
        </is>
      </c>
      <c r="AH77" s="76" t="inlineStr">
        <is>
          <t>Nan</t>
        </is>
      </c>
      <c r="AI77" s="76" t="inlineStr">
        <is>
          <t>Nan</t>
        </is>
      </c>
      <c r="AJ77" s="76" t="inlineStr">
        <is>
          <t>Nan</t>
        </is>
      </c>
      <c r="AK77" s="76" t="inlineStr">
        <is>
          <t>Nan</t>
        </is>
      </c>
      <c r="AL77" s="76" t="inlineStr">
        <is>
          <t>Nan</t>
        </is>
      </c>
      <c r="AM77" s="62" t="n">
        <v>2</v>
      </c>
      <c r="AN77" s="64" t="n">
        <v>1</v>
      </c>
      <c r="AO77" s="64" t="n">
        <v>1</v>
      </c>
      <c r="AP77" s="64" t="n">
        <v>4</v>
      </c>
      <c r="AQ77" s="64" t="n">
        <v>1</v>
      </c>
      <c r="AR77" s="64" t="n">
        <v>1</v>
      </c>
      <c r="AS77" s="64" t="n">
        <v>1</v>
      </c>
    </row>
    <row r="78" ht="18.75" customHeight="1">
      <c r="A78" s="60" t="inlineStr">
        <is>
          <t>Puma LE</t>
        </is>
      </c>
      <c r="B78" s="76" t="inlineStr">
        <is>
          <t>Nan</t>
        </is>
      </c>
      <c r="C78" s="76" t="inlineStr">
        <is>
          <t>Nan</t>
        </is>
      </c>
      <c r="D78" s="76" t="inlineStr">
        <is>
          <t>Nan</t>
        </is>
      </c>
      <c r="E78" s="13" t="n">
        <v>12000</v>
      </c>
      <c r="F78" s="76" t="inlineStr">
        <is>
          <t>Nan</t>
        </is>
      </c>
      <c r="G78" s="82" t="n">
        <v>0.8756675333935561</v>
      </c>
      <c r="H78" s="93" t="n">
        <v>15.37442539876206</v>
      </c>
      <c r="I78" s="15" t="n">
        <v>2.2</v>
      </c>
      <c r="J78" s="76" t="inlineStr">
        <is>
          <t>Nan</t>
        </is>
      </c>
      <c r="K78" s="82" t="n">
        <v>0.2023257147071444</v>
      </c>
      <c r="L78" s="17" t="n">
        <v>10.7</v>
      </c>
      <c r="M78" s="76" t="inlineStr">
        <is>
          <t>Nan</t>
        </is>
      </c>
      <c r="N78" s="18" t="n">
        <v>6.5</v>
      </c>
      <c r="O78" s="76" t="inlineStr">
        <is>
          <t>Nan</t>
        </is>
      </c>
      <c r="P78" s="76" t="inlineStr">
        <is>
          <t>Nan</t>
        </is>
      </c>
      <c r="Q78" s="76" t="inlineStr">
        <is>
          <t>Nan</t>
        </is>
      </c>
      <c r="R78" s="76" t="inlineStr">
        <is>
          <t>Nan</t>
        </is>
      </c>
      <c r="S78" s="94" t="n">
        <v>4.6</v>
      </c>
      <c r="T78" s="93" t="n">
        <v>0.258555268487913</v>
      </c>
      <c r="U78" s="76" t="inlineStr">
        <is>
          <t>Nan</t>
        </is>
      </c>
      <c r="V78" s="76" t="inlineStr">
        <is>
          <t>Nan</t>
        </is>
      </c>
      <c r="W78" s="76" t="inlineStr">
        <is>
          <t>Nan</t>
        </is>
      </c>
      <c r="X78" s="76" t="inlineStr">
        <is>
          <t>Nan</t>
        </is>
      </c>
      <c r="Y78" s="76" t="inlineStr">
        <is>
          <t>Nan</t>
        </is>
      </c>
      <c r="Z78" s="76" t="inlineStr">
        <is>
          <t>Nan</t>
        </is>
      </c>
      <c r="AA78" s="76" t="inlineStr">
        <is>
          <t>Nan</t>
        </is>
      </c>
      <c r="AB78" s="76" t="inlineStr">
        <is>
          <t>Nan</t>
        </is>
      </c>
      <c r="AC78" s="76" t="inlineStr">
        <is>
          <t>Nan</t>
        </is>
      </c>
      <c r="AD78" s="19" t="n">
        <v>60</v>
      </c>
      <c r="AE78" s="76" t="inlineStr">
        <is>
          <t>Nan</t>
        </is>
      </c>
      <c r="AF78" s="76" t="inlineStr">
        <is>
          <t>Nan</t>
        </is>
      </c>
      <c r="AG78" s="76" t="inlineStr">
        <is>
          <t>Nan</t>
        </is>
      </c>
      <c r="AH78" s="76" t="inlineStr">
        <is>
          <t>Nan</t>
        </is>
      </c>
      <c r="AI78" s="76" t="inlineStr">
        <is>
          <t>Nan</t>
        </is>
      </c>
      <c r="AJ78" s="76" t="inlineStr">
        <is>
          <t>Nan</t>
        </is>
      </c>
      <c r="AK78" s="76" t="inlineStr">
        <is>
          <t>Nan</t>
        </is>
      </c>
      <c r="AL78" s="76" t="inlineStr">
        <is>
          <t>Nan</t>
        </is>
      </c>
      <c r="AM78" s="62" t="n">
        <v>1</v>
      </c>
      <c r="AN78" s="64" t="n">
        <v>1</v>
      </c>
      <c r="AO78" s="64" t="n">
        <v>0</v>
      </c>
      <c r="AP78" s="64" t="n">
        <v>0</v>
      </c>
      <c r="AQ78" s="64" t="n">
        <v>1</v>
      </c>
      <c r="AR78" s="64" t="n">
        <v>1</v>
      </c>
      <c r="AS78" s="64" t="n">
        <v>1</v>
      </c>
    </row>
    <row r="79" ht="18.75" customHeight="1">
      <c r="A79" s="60" t="inlineStr">
        <is>
          <t>Puma 3 AE</t>
        </is>
      </c>
      <c r="B79" s="76" t="inlineStr">
        <is>
          <t>Nan</t>
        </is>
      </c>
      <c r="C79" s="76" t="inlineStr">
        <is>
          <t>Nan</t>
        </is>
      </c>
      <c r="D79" s="75" t="n">
        <v>24.83</v>
      </c>
      <c r="E79" s="13" t="n">
        <v>15000</v>
      </c>
      <c r="F79" s="76" t="inlineStr">
        <is>
          <t>Nan</t>
        </is>
      </c>
      <c r="G79" s="82" t="n">
        <v>2.021140815493226</v>
      </c>
      <c r="H79" s="82" t="n">
        <v>13.6229258562515</v>
      </c>
      <c r="I79" s="15" t="n">
        <v>1.4</v>
      </c>
      <c r="J79" s="76" t="inlineStr">
        <is>
          <t>Nan</t>
        </is>
      </c>
      <c r="K79" s="82" t="n">
        <v>0.2242535439605353</v>
      </c>
      <c r="L79" s="17" t="n">
        <v>6.8</v>
      </c>
      <c r="M79" s="85" t="n">
        <v>248.94</v>
      </c>
      <c r="N79" s="18" t="n">
        <v>3</v>
      </c>
      <c r="O79" s="76" t="inlineStr">
        <is>
          <t>Nan</t>
        </is>
      </c>
      <c r="P79" s="76" t="inlineStr">
        <is>
          <t>Nan</t>
        </is>
      </c>
      <c r="Q79" s="76" t="inlineStr">
        <is>
          <t>Nan</t>
        </is>
      </c>
      <c r="R79" s="76" t="inlineStr">
        <is>
          <t>Nan</t>
        </is>
      </c>
      <c r="S79" s="19" t="n">
        <v>2.8</v>
      </c>
      <c r="T79" s="76" t="inlineStr">
        <is>
          <t>Nan</t>
        </is>
      </c>
      <c r="U79" s="76" t="inlineStr">
        <is>
          <t>Nan</t>
        </is>
      </c>
      <c r="V79" s="76" t="inlineStr">
        <is>
          <t>Nan</t>
        </is>
      </c>
      <c r="W79" s="19" t="n">
        <v>23.05</v>
      </c>
      <c r="X79" s="76" t="inlineStr">
        <is>
          <t>Nan</t>
        </is>
      </c>
      <c r="Y79" s="76" t="inlineStr">
        <is>
          <t>Nan</t>
        </is>
      </c>
      <c r="Z79" s="76" t="inlineStr">
        <is>
          <t>Nan</t>
        </is>
      </c>
      <c r="AA79" s="76" t="inlineStr">
        <is>
          <t>Nan</t>
        </is>
      </c>
      <c r="AB79" s="76" t="inlineStr">
        <is>
          <t>Nan</t>
        </is>
      </c>
      <c r="AC79" s="76" t="inlineStr">
        <is>
          <t>Nan</t>
        </is>
      </c>
      <c r="AD79" s="19" t="n">
        <v>20</v>
      </c>
      <c r="AE79" s="76" t="inlineStr">
        <is>
          <t>Nan</t>
        </is>
      </c>
      <c r="AF79" s="76" t="inlineStr">
        <is>
          <t>Nan</t>
        </is>
      </c>
      <c r="AG79" s="76" t="inlineStr">
        <is>
          <t>Nan</t>
        </is>
      </c>
      <c r="AH79" s="76" t="inlineStr">
        <is>
          <t>Nan</t>
        </is>
      </c>
      <c r="AI79" s="76" t="inlineStr">
        <is>
          <t>Nan</t>
        </is>
      </c>
      <c r="AJ79" s="76" t="inlineStr">
        <is>
          <t>Nan</t>
        </is>
      </c>
      <c r="AK79" s="76" t="inlineStr">
        <is>
          <t>Nan</t>
        </is>
      </c>
      <c r="AL79" s="76" t="inlineStr">
        <is>
          <t>Nan</t>
        </is>
      </c>
      <c r="AM79" s="62" t="n">
        <v>1</v>
      </c>
      <c r="AN79" s="64" t="n">
        <v>1</v>
      </c>
      <c r="AO79" s="64" t="n">
        <v>0</v>
      </c>
      <c r="AP79" s="64" t="n">
        <v>0</v>
      </c>
      <c r="AQ79" s="64" t="n">
        <v>1</v>
      </c>
      <c r="AR79" s="64" t="n">
        <v>1</v>
      </c>
      <c r="AS79" s="64" t="n">
        <v>1</v>
      </c>
    </row>
    <row r="80" ht="18.75" customHeight="1">
      <c r="A80" s="60" t="inlineStr">
        <is>
          <t>Raven B (RQ-11B)</t>
        </is>
      </c>
      <c r="B80" s="76" t="inlineStr">
        <is>
          <t>Nan</t>
        </is>
      </c>
      <c r="C80" s="74" t="inlineStr">
        <is>
          <t>Nan</t>
        </is>
      </c>
      <c r="D80" s="76" t="inlineStr">
        <is>
          <t>Nan</t>
        </is>
      </c>
      <c r="E80" s="76" t="inlineStr">
        <is>
          <t>Nan</t>
        </is>
      </c>
      <c r="F80" s="76" t="inlineStr">
        <is>
          <t>Nan</t>
        </is>
      </c>
      <c r="G80" s="76" t="inlineStr">
        <is>
          <t>Nan</t>
        </is>
      </c>
      <c r="H80" s="76" t="inlineStr">
        <is>
          <t>Nan</t>
        </is>
      </c>
      <c r="I80" s="15" t="n">
        <v>0.9</v>
      </c>
      <c r="J80" s="76" t="inlineStr">
        <is>
          <t>Nan</t>
        </is>
      </c>
      <c r="K80" s="76" t="inlineStr">
        <is>
          <t>Nan</t>
        </is>
      </c>
      <c r="L80" s="17" t="n">
        <v>2.2</v>
      </c>
      <c r="M80" s="76" t="inlineStr">
        <is>
          <t>Nan</t>
        </is>
      </c>
      <c r="N80" s="18" t="n">
        <v>1.5</v>
      </c>
      <c r="O80" s="76" t="inlineStr">
        <is>
          <t>Nan</t>
        </is>
      </c>
      <c r="P80" s="76" t="inlineStr">
        <is>
          <t>Nan</t>
        </is>
      </c>
      <c r="Q80" s="76" t="inlineStr">
        <is>
          <t>Nan</t>
        </is>
      </c>
      <c r="R80" s="76" t="inlineStr">
        <is>
          <t>Nan</t>
        </is>
      </c>
      <c r="S80" s="19" t="n">
        <v>1.4</v>
      </c>
      <c r="T80" s="76" t="inlineStr">
        <is>
          <t>Nan</t>
        </is>
      </c>
      <c r="U80" s="76" t="inlineStr">
        <is>
          <t>Nan</t>
        </is>
      </c>
      <c r="V80" s="76" t="inlineStr">
        <is>
          <t>Nan</t>
        </is>
      </c>
      <c r="W80" s="76" t="inlineStr">
        <is>
          <t>Nan</t>
        </is>
      </c>
      <c r="X80" s="76" t="inlineStr">
        <is>
          <t>Nan</t>
        </is>
      </c>
      <c r="Y80" s="76" t="inlineStr">
        <is>
          <t>Nan</t>
        </is>
      </c>
      <c r="Z80" s="76" t="inlineStr">
        <is>
          <t>Nan</t>
        </is>
      </c>
      <c r="AA80" s="76" t="inlineStr">
        <is>
          <t>Nan</t>
        </is>
      </c>
      <c r="AB80" s="76" t="inlineStr">
        <is>
          <t>Nan</t>
        </is>
      </c>
      <c r="AC80" s="76" t="inlineStr">
        <is>
          <t>Nan</t>
        </is>
      </c>
      <c r="AD80" s="19" t="n">
        <v>10</v>
      </c>
      <c r="AE80" s="76" t="inlineStr">
        <is>
          <t>Nan</t>
        </is>
      </c>
      <c r="AF80" s="76" t="inlineStr">
        <is>
          <t>Nan</t>
        </is>
      </c>
      <c r="AG80" s="76" t="inlineStr">
        <is>
          <t>Nan</t>
        </is>
      </c>
      <c r="AH80" s="76" t="inlineStr">
        <is>
          <t>Nan</t>
        </is>
      </c>
      <c r="AI80" s="76" t="inlineStr">
        <is>
          <t>Nan</t>
        </is>
      </c>
      <c r="AJ80" s="76" t="inlineStr">
        <is>
          <t>Nan</t>
        </is>
      </c>
      <c r="AK80" s="76" t="inlineStr">
        <is>
          <t>Nan</t>
        </is>
      </c>
      <c r="AL80" s="76" t="inlineStr">
        <is>
          <t>Nan</t>
        </is>
      </c>
      <c r="AM80" s="62" t="n">
        <v>1</v>
      </c>
      <c r="AN80" s="64" t="n">
        <v>1</v>
      </c>
      <c r="AO80" s="64" t="n">
        <v>0</v>
      </c>
      <c r="AP80" s="64" t="n">
        <v>0</v>
      </c>
      <c r="AQ80" s="64" t="n">
        <v>1</v>
      </c>
      <c r="AR80" s="64" t="n">
        <v>1</v>
      </c>
      <c r="AS80" s="64" t="n">
        <v>1</v>
      </c>
    </row>
    <row r="81" ht="18.75" customHeight="1">
      <c r="A81" s="60" t="inlineStr">
        <is>
          <t>Minibe (BETA UAS / PT Pindad)</t>
        </is>
      </c>
      <c r="B81" s="76" t="inlineStr">
        <is>
          <t>Nan</t>
        </is>
      </c>
      <c r="C81" s="74" t="inlineStr">
        <is>
          <t>Nan</t>
        </is>
      </c>
      <c r="D81" s="76" t="inlineStr">
        <is>
          <t>Nan</t>
        </is>
      </c>
      <c r="E81" s="76" t="inlineStr">
        <is>
          <t>Nan</t>
        </is>
      </c>
      <c r="F81" s="76" t="inlineStr">
        <is>
          <t>Nan</t>
        </is>
      </c>
      <c r="G81" s="76" t="inlineStr">
        <is>
          <t>Nan</t>
        </is>
      </c>
      <c r="H81" s="76" t="inlineStr">
        <is>
          <t>Nan</t>
        </is>
      </c>
      <c r="I81" s="15" t="n">
        <v>0.8</v>
      </c>
      <c r="J81" s="76" t="inlineStr">
        <is>
          <t>Nan</t>
        </is>
      </c>
      <c r="K81" s="76" t="inlineStr">
        <is>
          <t>Nan</t>
        </is>
      </c>
      <c r="L81" s="17" t="n">
        <v>6</v>
      </c>
      <c r="M81" s="76" t="inlineStr">
        <is>
          <t>Nan</t>
        </is>
      </c>
      <c r="N81" s="18" t="n">
        <v>0.25</v>
      </c>
      <c r="O81" s="76" t="inlineStr">
        <is>
          <t>Nan</t>
        </is>
      </c>
      <c r="P81" s="76" t="inlineStr">
        <is>
          <t>Nan</t>
        </is>
      </c>
      <c r="Q81" s="76" t="inlineStr">
        <is>
          <t>Nan</t>
        </is>
      </c>
      <c r="R81" s="76" t="inlineStr">
        <is>
          <t>Nan</t>
        </is>
      </c>
      <c r="S81" s="19" t="n">
        <v>1.3</v>
      </c>
      <c r="T81" s="76" t="inlineStr">
        <is>
          <t>Nan</t>
        </is>
      </c>
      <c r="U81" s="19" t="n">
        <v>0.8</v>
      </c>
      <c r="V81" s="76" t="inlineStr">
        <is>
          <t>Nan</t>
        </is>
      </c>
      <c r="W81" s="76" t="inlineStr">
        <is>
          <t>Nan</t>
        </is>
      </c>
      <c r="X81" s="76" t="inlineStr">
        <is>
          <t>Nan</t>
        </is>
      </c>
      <c r="Y81" s="76" t="inlineStr">
        <is>
          <t>Nan</t>
        </is>
      </c>
      <c r="Z81" s="76" t="inlineStr">
        <is>
          <t>Nan</t>
        </is>
      </c>
      <c r="AA81" s="83" t="n">
        <v>5.2</v>
      </c>
      <c r="AB81" s="76" t="inlineStr">
        <is>
          <t>Nan</t>
        </is>
      </c>
      <c r="AC81" s="76" t="inlineStr">
        <is>
          <t>Nan</t>
        </is>
      </c>
      <c r="AD81" s="19" t="n">
        <v>25</v>
      </c>
      <c r="AE81" s="76" t="inlineStr">
        <is>
          <t>Nan</t>
        </is>
      </c>
      <c r="AF81" s="76" t="inlineStr">
        <is>
          <t>Nan</t>
        </is>
      </c>
      <c r="AG81" s="76" t="inlineStr">
        <is>
          <t>Nan</t>
        </is>
      </c>
      <c r="AH81" s="76" t="inlineStr">
        <is>
          <t>Nan</t>
        </is>
      </c>
      <c r="AI81" s="76" t="inlineStr">
        <is>
          <t>Nan</t>
        </is>
      </c>
      <c r="AJ81" s="76" t="inlineStr">
        <is>
          <t>Nan</t>
        </is>
      </c>
      <c r="AK81" s="76" t="inlineStr">
        <is>
          <t>Nan</t>
        </is>
      </c>
      <c r="AL81" s="76" t="inlineStr">
        <is>
          <t>Nan</t>
        </is>
      </c>
      <c r="AM81" s="62" t="n">
        <v>1</v>
      </c>
      <c r="AN81" s="64" t="n">
        <v>1</v>
      </c>
      <c r="AO81" s="64" t="n">
        <v>0</v>
      </c>
      <c r="AP81" s="64" t="n">
        <v>0</v>
      </c>
      <c r="AQ81" s="64" t="n">
        <v>1</v>
      </c>
      <c r="AR81" s="64" t="n">
        <v>6</v>
      </c>
      <c r="AS81" s="64" t="n">
        <v>3</v>
      </c>
    </row>
    <row r="82" ht="18.75" customHeight="1">
      <c r="A82" s="60" t="inlineStr">
        <is>
          <t>Raybe (BETA UAS)</t>
        </is>
      </c>
      <c r="B82" s="76" t="inlineStr">
        <is>
          <t>Nan</t>
        </is>
      </c>
      <c r="C82" s="74" t="inlineStr">
        <is>
          <t>Nan</t>
        </is>
      </c>
      <c r="D82" s="75" t="n">
        <v>18.31</v>
      </c>
      <c r="E82" s="76" t="inlineStr">
        <is>
          <t>Nan</t>
        </is>
      </c>
      <c r="F82" s="13" t="n">
        <v>14</v>
      </c>
      <c r="G82" s="76" t="inlineStr">
        <is>
          <t>Nan</t>
        </is>
      </c>
      <c r="H82" s="76" t="inlineStr">
        <is>
          <t>Nan</t>
        </is>
      </c>
      <c r="I82" s="15" t="n">
        <v>1.27</v>
      </c>
      <c r="J82" s="76" t="inlineStr">
        <is>
          <t>Nan</t>
        </is>
      </c>
      <c r="K82" s="76" t="inlineStr">
        <is>
          <t>Nan</t>
        </is>
      </c>
      <c r="L82" s="101" t="n">
        <v>5.2</v>
      </c>
      <c r="M82" s="85" t="n">
        <v>50.8</v>
      </c>
      <c r="N82" s="18" t="n">
        <v>0.83</v>
      </c>
      <c r="O82" s="18" t="n">
        <v>22</v>
      </c>
      <c r="P82" s="82" t="n">
        <v>14</v>
      </c>
      <c r="Q82" s="76" t="inlineStr">
        <is>
          <t>Nan</t>
        </is>
      </c>
      <c r="R82" s="76" t="inlineStr">
        <is>
          <t>Nan</t>
        </is>
      </c>
      <c r="S82" s="19" t="n">
        <v>1.83</v>
      </c>
      <c r="T82" s="76" t="inlineStr">
        <is>
          <t>Nan</t>
        </is>
      </c>
      <c r="U82" s="94" t="n">
        <v>0.5</v>
      </c>
      <c r="V82" s="76" t="inlineStr">
        <is>
          <t>Nan</t>
        </is>
      </c>
      <c r="W82" s="19" t="n">
        <v>17</v>
      </c>
      <c r="X82" s="76" t="inlineStr">
        <is>
          <t>Nan</t>
        </is>
      </c>
      <c r="Y82" s="76" t="inlineStr">
        <is>
          <t>Nan</t>
        </is>
      </c>
      <c r="Z82" s="76" t="inlineStr">
        <is>
          <t>Nan</t>
        </is>
      </c>
      <c r="AA82" s="94" t="n">
        <v>3.65</v>
      </c>
      <c r="AB82" s="76" t="inlineStr">
        <is>
          <t>Nan</t>
        </is>
      </c>
      <c r="AC82" s="76" t="inlineStr">
        <is>
          <t>Nan</t>
        </is>
      </c>
      <c r="AD82" s="19" t="n">
        <v>8</v>
      </c>
      <c r="AE82" s="76" t="inlineStr">
        <is>
          <t>Nan</t>
        </is>
      </c>
      <c r="AF82" s="76" t="inlineStr">
        <is>
          <t>Nan</t>
        </is>
      </c>
      <c r="AG82" s="76" t="inlineStr">
        <is>
          <t>Nan</t>
        </is>
      </c>
      <c r="AH82" s="76" t="inlineStr">
        <is>
          <t>Nan</t>
        </is>
      </c>
      <c r="AI82" s="76" t="inlineStr">
        <is>
          <t>Nan</t>
        </is>
      </c>
      <c r="AJ82" s="76" t="inlineStr">
        <is>
          <t>Nan</t>
        </is>
      </c>
      <c r="AK82" s="76" t="inlineStr">
        <is>
          <t>Nan</t>
        </is>
      </c>
      <c r="AL82" s="76" t="inlineStr">
        <is>
          <t>Nan</t>
        </is>
      </c>
      <c r="AM82" s="62" t="n">
        <v>2</v>
      </c>
      <c r="AN82" s="64" t="n">
        <v>1</v>
      </c>
      <c r="AO82" s="64" t="n">
        <v>1</v>
      </c>
      <c r="AP82" s="64" t="n">
        <v>3</v>
      </c>
      <c r="AQ82" s="64" t="n">
        <v>2</v>
      </c>
      <c r="AR82" s="64" t="n">
        <v>1</v>
      </c>
      <c r="AS82" s="64" t="n">
        <v>3</v>
      </c>
    </row>
    <row r="83" ht="18.75" customHeight="1">
      <c r="A83" s="60" t="inlineStr">
        <is>
          <t>Ruppel (BETA UAS)</t>
        </is>
      </c>
      <c r="B83" s="76" t="inlineStr">
        <is>
          <t>Nan</t>
        </is>
      </c>
      <c r="C83" s="74" t="inlineStr">
        <is>
          <t>Nan</t>
        </is>
      </c>
      <c r="D83" s="76" t="inlineStr">
        <is>
          <t>Nan</t>
        </is>
      </c>
      <c r="E83" s="76" t="inlineStr">
        <is>
          <t>Nan</t>
        </is>
      </c>
      <c r="F83" s="76" t="inlineStr">
        <is>
          <t>Nan</t>
        </is>
      </c>
      <c r="G83" s="82" t="n">
        <v>0.9635710179057444</v>
      </c>
      <c r="H83" s="98" t="n">
        <v>13.16530721999129</v>
      </c>
      <c r="I83" s="15" t="n">
        <v>2.3</v>
      </c>
      <c r="J83" s="76" t="inlineStr">
        <is>
          <t>Nan</t>
        </is>
      </c>
      <c r="K83" s="82" t="n">
        <v>0.2582948699510208</v>
      </c>
      <c r="L83" s="17" t="n">
        <v>30</v>
      </c>
      <c r="M83" s="76" t="inlineStr">
        <is>
          <t>Nan</t>
        </is>
      </c>
      <c r="N83" s="18" t="n">
        <v>1</v>
      </c>
      <c r="O83" s="76" t="inlineStr">
        <is>
          <t>Nan</t>
        </is>
      </c>
      <c r="P83" s="76" t="inlineStr">
        <is>
          <t>Nan</t>
        </is>
      </c>
      <c r="Q83" s="76" t="inlineStr">
        <is>
          <t>Nan</t>
        </is>
      </c>
      <c r="R83" s="76" t="inlineStr">
        <is>
          <t>Nan</t>
        </is>
      </c>
      <c r="S83" s="92" t="n">
        <v>3.9</v>
      </c>
      <c r="T83" s="98" t="n">
        <v>0.3260255383989831</v>
      </c>
      <c r="U83" s="19" t="n">
        <v>10</v>
      </c>
      <c r="V83" s="76" t="inlineStr">
        <is>
          <t>Nan</t>
        </is>
      </c>
      <c r="W83" s="76" t="inlineStr">
        <is>
          <t>Nan</t>
        </is>
      </c>
      <c r="X83" s="76" t="inlineStr">
        <is>
          <t>Nan</t>
        </is>
      </c>
      <c r="Y83" s="76" t="inlineStr">
        <is>
          <t>Nan</t>
        </is>
      </c>
      <c r="Z83" s="76" t="inlineStr">
        <is>
          <t>Nan</t>
        </is>
      </c>
      <c r="AA83" s="83" t="n">
        <v>20</v>
      </c>
      <c r="AB83" s="76" t="inlineStr">
        <is>
          <t>Nan</t>
        </is>
      </c>
      <c r="AC83" s="76" t="inlineStr">
        <is>
          <t>Nan</t>
        </is>
      </c>
      <c r="AD83" s="19" t="n">
        <v>50</v>
      </c>
      <c r="AE83" s="76" t="inlineStr">
        <is>
          <t>Nan</t>
        </is>
      </c>
      <c r="AF83" s="76" t="inlineStr">
        <is>
          <t>Nan</t>
        </is>
      </c>
      <c r="AG83" s="76" t="inlineStr">
        <is>
          <t>Nan</t>
        </is>
      </c>
      <c r="AH83" s="76" t="inlineStr">
        <is>
          <t>Nan</t>
        </is>
      </c>
      <c r="AI83" s="76" t="inlineStr">
        <is>
          <t>Nan</t>
        </is>
      </c>
      <c r="AJ83" s="76" t="inlineStr">
        <is>
          <t>Nan</t>
        </is>
      </c>
      <c r="AK83" s="76" t="inlineStr">
        <is>
          <t>Nan</t>
        </is>
      </c>
      <c r="AL83" s="76" t="inlineStr">
        <is>
          <t>Nan</t>
        </is>
      </c>
      <c r="AM83" s="62" t="n">
        <v>1</v>
      </c>
      <c r="AN83" s="64" t="n">
        <v>2</v>
      </c>
      <c r="AO83" s="64" t="n">
        <v>1</v>
      </c>
      <c r="AP83" s="64" t="n">
        <v>4</v>
      </c>
      <c r="AQ83" s="64" t="n">
        <v>1</v>
      </c>
      <c r="AR83" s="64" t="n">
        <v>1</v>
      </c>
      <c r="AS83" s="64" t="n">
        <v>3</v>
      </c>
    </row>
    <row r="84" ht="18.75" customHeight="1">
      <c r="A84" s="60" t="inlineStr">
        <is>
          <t>Omnibe (BETA UAS)</t>
        </is>
      </c>
      <c r="B84" s="76" t="inlineStr">
        <is>
          <t>Nan</t>
        </is>
      </c>
      <c r="C84" s="74" t="inlineStr">
        <is>
          <t>Nan</t>
        </is>
      </c>
      <c r="D84" s="75" t="n">
        <v>20.47</v>
      </c>
      <c r="E84" s="76" t="inlineStr">
        <is>
          <t>Nan</t>
        </is>
      </c>
      <c r="F84" s="13" t="n">
        <v>14</v>
      </c>
      <c r="G84" s="82" t="n">
        <v>1.309302447529195</v>
      </c>
      <c r="H84" s="93" t="n">
        <v>15.05213703265623</v>
      </c>
      <c r="I84" s="15" t="n">
        <v>2</v>
      </c>
      <c r="J84" s="76" t="inlineStr">
        <is>
          <t>Nan</t>
        </is>
      </c>
      <c r="K84" s="82" t="n">
        <v>0.1789907528198699</v>
      </c>
      <c r="L84" s="101" t="n">
        <v>12</v>
      </c>
      <c r="M84" s="85" t="n">
        <v>102.6</v>
      </c>
      <c r="N84" s="18" t="n">
        <v>1.5</v>
      </c>
      <c r="O84" s="18" t="n">
        <v>28</v>
      </c>
      <c r="P84" s="76" t="inlineStr">
        <is>
          <t>Nan</t>
        </is>
      </c>
      <c r="Q84" s="76" t="inlineStr">
        <is>
          <t>Nan</t>
        </is>
      </c>
      <c r="R84" s="76" t="inlineStr">
        <is>
          <t>Nan</t>
        </is>
      </c>
      <c r="S84" s="94" t="n">
        <v>2.9</v>
      </c>
      <c r="T84" s="93" t="n">
        <v>0.3441783706226256</v>
      </c>
      <c r="U84" s="94" t="n">
        <v>1.5</v>
      </c>
      <c r="V84" s="76" t="inlineStr">
        <is>
          <t>Nan</t>
        </is>
      </c>
      <c r="W84" s="19" t="n">
        <v>19</v>
      </c>
      <c r="X84" s="76" t="inlineStr">
        <is>
          <t>Nan</t>
        </is>
      </c>
      <c r="Y84" s="76" t="inlineStr">
        <is>
          <t>Nan</t>
        </is>
      </c>
      <c r="Z84" s="76" t="inlineStr">
        <is>
          <t>Nan</t>
        </is>
      </c>
      <c r="AA84" s="94" t="n">
        <v>7</v>
      </c>
      <c r="AB84" s="76" t="inlineStr">
        <is>
          <t>Nan</t>
        </is>
      </c>
      <c r="AC84" s="76" t="inlineStr">
        <is>
          <t>Nan</t>
        </is>
      </c>
      <c r="AD84" s="19" t="n">
        <v>17</v>
      </c>
      <c r="AE84" s="76" t="inlineStr">
        <is>
          <t>Nan</t>
        </is>
      </c>
      <c r="AF84" s="76" t="inlineStr">
        <is>
          <t>Nan</t>
        </is>
      </c>
      <c r="AG84" s="76" t="inlineStr">
        <is>
          <t>Nan</t>
        </is>
      </c>
      <c r="AH84" s="76" t="inlineStr">
        <is>
          <t>Nan</t>
        </is>
      </c>
      <c r="AI84" s="76" t="inlineStr">
        <is>
          <t>Nan</t>
        </is>
      </c>
      <c r="AJ84" s="76" t="inlineStr">
        <is>
          <t>Nan</t>
        </is>
      </c>
      <c r="AK84" s="76" t="inlineStr">
        <is>
          <t>Nan</t>
        </is>
      </c>
      <c r="AL84" s="76" t="inlineStr">
        <is>
          <t>Nan</t>
        </is>
      </c>
      <c r="AM84" s="62" t="n">
        <v>1</v>
      </c>
      <c r="AN84" s="64" t="n">
        <v>1</v>
      </c>
      <c r="AO84" s="64" t="n">
        <v>1</v>
      </c>
      <c r="AP84" s="64" t="n">
        <v>4</v>
      </c>
      <c r="AQ84" s="64" t="n">
        <v>1</v>
      </c>
      <c r="AR84" s="64" t="n">
        <v>1</v>
      </c>
      <c r="AS84" s="64"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6" t="inlineStr">
        <is>
          <t>Modelo aeronave</t>
        </is>
      </c>
      <c r="B1" s="56" t="inlineStr">
        <is>
          <t>Peso máximo al despegue (MTOW)</t>
        </is>
      </c>
      <c r="C1" s="55" t="inlineStr">
        <is>
          <t>Payload</t>
        </is>
      </c>
      <c r="D1" s="55" t="inlineStr">
        <is>
          <t>Potencia HP</t>
        </is>
      </c>
      <c r="E1" s="55" t="inlineStr">
        <is>
          <t>Envergadura</t>
        </is>
      </c>
      <c r="F1" s="55" t="inlineStr">
        <is>
          <t>Alcance de la aeronave</t>
        </is>
      </c>
      <c r="G1" s="55" t="inlineStr">
        <is>
          <t>Velocidad a la que se realiza el crucero (KTAS)</t>
        </is>
      </c>
      <c r="H1" s="56" t="inlineStr">
        <is>
          <t>Cantidad de motores</t>
        </is>
      </c>
      <c r="I1" s="55" t="inlineStr">
        <is>
          <t>Ancho del fuselaje</t>
        </is>
      </c>
      <c r="J1" s="55" t="inlineStr">
        <is>
          <t>Rango de comunicación</t>
        </is>
      </c>
      <c r="K1" s="56" t="inlineStr">
        <is>
          <t>Misión</t>
        </is>
      </c>
      <c r="L1" s="54" t="inlineStr">
        <is>
          <t>Despegue</t>
        </is>
      </c>
      <c r="M1" s="59" t="inlineStr">
        <is>
          <t>Propulsión horizontal</t>
        </is>
      </c>
      <c r="N1" s="59" t="inlineStr">
        <is>
          <t>Propulsión vertical</t>
        </is>
      </c>
      <c r="O1" s="59" t="inlineStr">
        <is>
          <t>Cantidad de motores propulsión vertical</t>
        </is>
      </c>
      <c r="P1" s="59" t="inlineStr">
        <is>
          <t>Cantidad de motores propulsión horizontal</t>
        </is>
      </c>
    </row>
    <row r="2">
      <c r="A2" s="57" t="inlineStr">
        <is>
          <t>A1</t>
        </is>
      </c>
      <c r="B2" s="58" t="n">
        <v>100</v>
      </c>
      <c r="C2" s="58" t="n">
        <v>20</v>
      </c>
      <c r="D2" s="58" t="n">
        <v>18</v>
      </c>
      <c r="E2" s="58" t="n">
        <v>4.52</v>
      </c>
      <c r="F2" s="58" t="n">
        <v>600</v>
      </c>
      <c r="G2" s="58" t="n">
        <v>40</v>
      </c>
      <c r="H2" s="58" t="n">
        <v>1</v>
      </c>
      <c r="I2" s="58" t="n">
        <v>0.25</v>
      </c>
      <c r="J2" s="58" t="n">
        <v>100</v>
      </c>
      <c r="K2" s="58" t="n">
        <v>1</v>
      </c>
      <c r="L2" s="3" t="n">
        <v>1</v>
      </c>
      <c r="M2" s="3" t="n">
        <v>2</v>
      </c>
      <c r="N2" s="3" t="n">
        <v>5</v>
      </c>
      <c r="O2" s="3" t="n">
        <v>0</v>
      </c>
      <c r="P2" s="3" t="n">
        <v>1</v>
      </c>
    </row>
    <row r="3">
      <c r="A3" s="57" t="inlineStr">
        <is>
          <t>A2</t>
        </is>
      </c>
      <c r="B3" s="58" t="n">
        <v>150</v>
      </c>
      <c r="C3" s="58" t="n">
        <v>32</v>
      </c>
      <c r="D3" s="58" t="n">
        <v>24</v>
      </c>
      <c r="E3" s="58" t="n">
        <v>5.64</v>
      </c>
      <c r="F3" s="58" t="n">
        <v>700</v>
      </c>
      <c r="G3" s="58" t="n">
        <v>38</v>
      </c>
      <c r="H3" s="58" t="n">
        <v>1</v>
      </c>
      <c r="I3" s="58" t="n">
        <v>0.21</v>
      </c>
      <c r="J3" s="58" t="n">
        <v>20</v>
      </c>
      <c r="K3" s="58" t="n">
        <v>1</v>
      </c>
      <c r="L3" s="3" t="n">
        <v>1</v>
      </c>
      <c r="M3" s="3" t="n">
        <v>2</v>
      </c>
      <c r="N3" s="3" t="n">
        <v>5</v>
      </c>
      <c r="O3" s="3" t="n">
        <v>0</v>
      </c>
      <c r="P3" s="3" t="n">
        <v>1</v>
      </c>
    </row>
    <row r="4">
      <c r="A4" s="57" t="inlineStr">
        <is>
          <t>A3</t>
        </is>
      </c>
      <c r="B4" s="58" t="n">
        <v>150</v>
      </c>
      <c r="C4" s="58" t="n">
        <v>32</v>
      </c>
      <c r="D4" s="58" t="inlineStr">
        <is>
          <t>nan</t>
        </is>
      </c>
      <c r="E4" s="58" t="inlineStr">
        <is>
          <t>nan</t>
        </is>
      </c>
      <c r="F4" s="58" t="inlineStr">
        <is>
          <t>nan</t>
        </is>
      </c>
      <c r="G4" s="58" t="inlineStr">
        <is>
          <t>nan</t>
        </is>
      </c>
      <c r="H4" s="58" t="n">
        <v>1</v>
      </c>
      <c r="I4" s="58" t="n">
        <v>0.23</v>
      </c>
      <c r="J4" s="58" t="n">
        <v>20</v>
      </c>
      <c r="K4" s="58" t="n">
        <v>1</v>
      </c>
      <c r="L4" s="3" t="n">
        <v>1</v>
      </c>
      <c r="M4" s="3" t="n">
        <v>2</v>
      </c>
      <c r="N4" s="3" t="n">
        <v>5</v>
      </c>
      <c r="O4" s="3" t="n">
        <v>0</v>
      </c>
      <c r="P4" s="3" t="n">
        <v>1</v>
      </c>
    </row>
    <row r="5">
      <c r="A5" s="57" t="inlineStr">
        <is>
          <t>A4</t>
        </is>
      </c>
      <c r="B5" s="58" t="n">
        <v>200</v>
      </c>
      <c r="C5" s="58" t="n">
        <v>40</v>
      </c>
      <c r="D5" s="58" t="n">
        <v>32</v>
      </c>
      <c r="E5" s="58" t="n">
        <v>6.39</v>
      </c>
      <c r="F5" s="58" t="n">
        <v>790</v>
      </c>
      <c r="G5" s="58" t="n">
        <v>34</v>
      </c>
      <c r="H5" s="58" t="n">
        <v>1</v>
      </c>
      <c r="I5" s="58" t="n">
        <v>0.26</v>
      </c>
      <c r="J5" s="58" t="n">
        <v>500</v>
      </c>
      <c r="K5" s="58" t="n">
        <v>1</v>
      </c>
      <c r="L5" s="3" t="n">
        <v>2</v>
      </c>
      <c r="M5" s="3" t="n">
        <v>2</v>
      </c>
      <c r="N5" s="3" t="n">
        <v>1</v>
      </c>
      <c r="O5" s="3" t="n">
        <v>4</v>
      </c>
      <c r="P5" s="3" t="n">
        <v>1</v>
      </c>
    </row>
    <row r="6">
      <c r="A6" s="57" t="inlineStr">
        <is>
          <t>A6</t>
        </is>
      </c>
      <c r="B6" s="58" t="n">
        <v>250</v>
      </c>
      <c r="C6" s="58" t="n">
        <v>52</v>
      </c>
      <c r="D6" s="58" t="n">
        <v>39</v>
      </c>
      <c r="E6" s="58" t="n">
        <v>7.36</v>
      </c>
      <c r="F6" s="58" t="n">
        <v>870</v>
      </c>
      <c r="G6" s="58" t="n">
        <v>42</v>
      </c>
      <c r="H6" s="58" t="n">
        <v>1</v>
      </c>
      <c r="I6" s="58" t="n">
        <v>0.24</v>
      </c>
      <c r="J6" s="58" t="n">
        <v>2500</v>
      </c>
      <c r="K6" s="58" t="n">
        <v>1</v>
      </c>
      <c r="L6" s="3" t="n">
        <v>1</v>
      </c>
      <c r="M6" s="3" t="n">
        <v>2</v>
      </c>
      <c r="N6" s="3" t="n">
        <v>5</v>
      </c>
      <c r="O6" s="3" t="n">
        <v>0</v>
      </c>
      <c r="P6" s="3" t="n">
        <v>1</v>
      </c>
    </row>
    <row r="7">
      <c r="A7" s="57" t="inlineStr">
        <is>
          <t>A7</t>
        </is>
      </c>
      <c r="B7" s="58" t="n">
        <v>300</v>
      </c>
      <c r="C7" s="58" t="inlineStr">
        <is>
          <t>nan</t>
        </is>
      </c>
      <c r="D7" s="58" t="n">
        <v>46</v>
      </c>
      <c r="E7" s="58" t="n">
        <v>8.119999999999999</v>
      </c>
      <c r="F7" s="58" t="n">
        <v>920</v>
      </c>
      <c r="G7" s="58" t="n">
        <v>41</v>
      </c>
      <c r="H7" s="58" t="n">
        <v>1</v>
      </c>
      <c r="I7" s="58" t="n">
        <v>0.33</v>
      </c>
      <c r="J7" s="58" t="n">
        <v>1500</v>
      </c>
      <c r="K7" s="58" t="n">
        <v>1</v>
      </c>
      <c r="L7" s="3" t="n">
        <v>2</v>
      </c>
      <c r="M7" s="3" t="n">
        <v>2</v>
      </c>
      <c r="N7" s="3" t="n">
        <v>1</v>
      </c>
      <c r="O7" s="3" t="n">
        <v>4</v>
      </c>
      <c r="P7" s="3" t="n">
        <v>1</v>
      </c>
    </row>
    <row r="8">
      <c r="A8" s="57" t="inlineStr">
        <is>
          <t>A5</t>
        </is>
      </c>
      <c r="B8" s="58" t="n">
        <v>200</v>
      </c>
      <c r="C8" s="58" t="inlineStr">
        <is>
          <t>nan</t>
        </is>
      </c>
      <c r="D8" s="58" t="n">
        <v>31</v>
      </c>
      <c r="E8" s="58" t="n">
        <v>6.2</v>
      </c>
      <c r="F8" s="58" t="n">
        <v>800</v>
      </c>
      <c r="G8" s="58" t="n">
        <v>34</v>
      </c>
      <c r="H8" s="58" t="n">
        <v>1</v>
      </c>
      <c r="I8" s="58" t="n">
        <v>0.24</v>
      </c>
      <c r="J8" s="58" t="n">
        <v>500</v>
      </c>
      <c r="K8" s="58" t="n">
        <v>1</v>
      </c>
      <c r="L8" s="3" t="n">
        <v>2</v>
      </c>
      <c r="M8" s="3" t="n">
        <v>2</v>
      </c>
      <c r="N8" s="3" t="n">
        <v>1</v>
      </c>
      <c r="O8" s="3" t="n">
        <v>4</v>
      </c>
      <c r="P8" s="3" t="n">
        <v>1</v>
      </c>
    </row>
    <row r="9">
      <c r="A9" s="57" t="inlineStr">
        <is>
          <t>A8</t>
        </is>
      </c>
      <c r="B9" s="58" t="n">
        <v>300</v>
      </c>
      <c r="C9" s="58" t="n">
        <v>61</v>
      </c>
      <c r="D9" s="58" t="n">
        <v>44</v>
      </c>
      <c r="E9" s="58" t="n">
        <v>7.7</v>
      </c>
      <c r="F9" s="58" t="n">
        <v>910</v>
      </c>
      <c r="G9" s="58" t="n">
        <v>40</v>
      </c>
      <c r="H9" s="58" t="n">
        <v>1</v>
      </c>
      <c r="I9" s="58" t="n">
        <v>0.31</v>
      </c>
      <c r="J9" s="58" t="n">
        <v>2500</v>
      </c>
      <c r="K9" s="58" t="n">
        <v>2</v>
      </c>
      <c r="L9" s="3" t="n">
        <v>1</v>
      </c>
      <c r="M9" s="3" t="n">
        <v>2</v>
      </c>
      <c r="N9" s="3" t="n">
        <v>5</v>
      </c>
      <c r="O9" s="3" t="n">
        <v>0</v>
      </c>
      <c r="P9" s="3" t="n">
        <v>1</v>
      </c>
    </row>
    <row r="10">
      <c r="A10" s="57" t="inlineStr">
        <is>
          <t>A9</t>
        </is>
      </c>
      <c r="B10" s="58" t="n">
        <v>350</v>
      </c>
      <c r="C10" s="58" t="n">
        <v>70</v>
      </c>
      <c r="D10" s="58" t="n">
        <v>53</v>
      </c>
      <c r="E10" s="58" t="n">
        <v>8.109999999999999</v>
      </c>
      <c r="F10" s="58" t="n">
        <v>960</v>
      </c>
      <c r="G10" s="58" t="n">
        <v>40</v>
      </c>
      <c r="H10" s="58" t="n">
        <v>1</v>
      </c>
      <c r="I10" s="58" t="n">
        <v>0.28</v>
      </c>
      <c r="J10" s="58" t="n">
        <v>800</v>
      </c>
      <c r="K10" s="58" t="n">
        <v>1</v>
      </c>
      <c r="L10" s="3" t="n">
        <v>1</v>
      </c>
      <c r="M10" s="3" t="n">
        <v>2</v>
      </c>
      <c r="N10" s="3" t="n">
        <v>5</v>
      </c>
      <c r="O10" s="3" t="n">
        <v>0</v>
      </c>
      <c r="P10" s="3" t="n">
        <v>1</v>
      </c>
    </row>
    <row r="11">
      <c r="A11" s="57" t="inlineStr">
        <is>
          <t>A10</t>
        </is>
      </c>
      <c r="B11" s="58" t="n">
        <v>350</v>
      </c>
      <c r="C11" s="58" t="n">
        <v>55</v>
      </c>
      <c r="D11" s="58" t="n">
        <v>42</v>
      </c>
      <c r="E11" s="58" t="n">
        <v>7</v>
      </c>
      <c r="F11" s="58" t="n">
        <v>800</v>
      </c>
      <c r="G11" s="58" t="n">
        <v>45</v>
      </c>
      <c r="H11" s="58" t="n">
        <v>1</v>
      </c>
      <c r="I11" s="58" t="n">
        <v>0.28</v>
      </c>
      <c r="J11" s="58" t="n">
        <v>500</v>
      </c>
      <c r="K11" s="58" t="n">
        <v>3</v>
      </c>
      <c r="L11" s="3" t="n">
        <v>1</v>
      </c>
      <c r="M11" s="3" t="n">
        <v>1</v>
      </c>
      <c r="N11" s="3" t="n">
        <v>5</v>
      </c>
      <c r="O11" s="3" t="n">
        <v>0</v>
      </c>
      <c r="P11" s="3"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73" t="inlineStr">
        <is>
          <t>Envergadura</t>
        </is>
      </c>
      <c r="C1" s="73" t="inlineStr">
        <is>
          <t>Cuerda</t>
        </is>
      </c>
      <c r="D1" s="73" t="inlineStr">
        <is>
          <t>Relación de aspecto del ala</t>
        </is>
      </c>
      <c r="E1" s="73" t="inlineStr">
        <is>
          <t>Peso máximo al despegue (MTOW)</t>
        </is>
      </c>
      <c r="F1" s="73" t="inlineStr">
        <is>
          <t>Payload</t>
        </is>
      </c>
      <c r="G1" s="73" t="inlineStr">
        <is>
          <t>Velocidad a la que se realiza el crucero (m/s TAS)</t>
        </is>
      </c>
    </row>
    <row r="2">
      <c r="A2" s="73" t="inlineStr">
        <is>
          <t>AC-01</t>
        </is>
      </c>
      <c r="B2" t="n">
        <v>10</v>
      </c>
      <c r="C2" t="n">
        <v>1.2</v>
      </c>
      <c r="E2" t="n">
        <v>1200</v>
      </c>
      <c r="F2" t="n">
        <v>200</v>
      </c>
      <c r="G2" t="n">
        <v>25</v>
      </c>
    </row>
    <row r="3">
      <c r="A3" s="73" t="inlineStr">
        <is>
          <t>AC-02</t>
        </is>
      </c>
      <c r="C3" t="n">
        <v>1.5</v>
      </c>
      <c r="D3" t="n">
        <v>8</v>
      </c>
      <c r="F3" t="n">
        <v>150</v>
      </c>
      <c r="G3" t="n">
        <v>20</v>
      </c>
    </row>
    <row r="4">
      <c r="A4" s="73"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0" t="inlineStr">
        <is>
          <t>Modelo aeronave</t>
        </is>
      </c>
      <c r="B1" s="30" t="inlineStr">
        <is>
          <t>MTOW</t>
        </is>
      </c>
      <c r="C1" s="30" t="inlineStr">
        <is>
          <t>Payload</t>
        </is>
      </c>
      <c r="D1" s="7" t="inlineStr">
        <is>
          <t>Potencia HP</t>
        </is>
      </c>
      <c r="E1" s="7" t="inlineStr">
        <is>
          <t>envergadura</t>
        </is>
      </c>
      <c r="F1" s="6" t="inlineStr">
        <is>
          <t>Alcance de la aeronave</t>
        </is>
      </c>
      <c r="G1" s="4" t="inlineStr">
        <is>
          <t>Velocidad a la que se realiza el crucero (KTAS)</t>
        </is>
      </c>
      <c r="H1" s="30" t="inlineStr">
        <is>
          <t>Cantidad de motores</t>
        </is>
      </c>
      <c r="I1" s="31" t="inlineStr">
        <is>
          <t>Ancho del fuselaje</t>
        </is>
      </c>
      <c r="J1" s="36" t="inlineStr">
        <is>
          <t>Rango de comunicación</t>
        </is>
      </c>
      <c r="K1" s="37" t="inlineStr">
        <is>
          <t>Misión</t>
        </is>
      </c>
      <c r="L1" s="38" t="n"/>
      <c r="M1" s="55" t="inlineStr">
        <is>
          <t>Potencia HP</t>
        </is>
      </c>
    </row>
    <row r="2" ht="15.75" customHeight="1" thickBot="1">
      <c r="A2" s="30" t="inlineStr">
        <is>
          <t>A1</t>
        </is>
      </c>
      <c r="B2" s="33" t="n">
        <v>100</v>
      </c>
      <c r="C2" s="33" t="n">
        <v>20</v>
      </c>
      <c r="D2" s="33" t="n">
        <v>18</v>
      </c>
      <c r="E2" s="33" t="n">
        <v>4.52</v>
      </c>
      <c r="F2" s="33" t="n">
        <v>600</v>
      </c>
      <c r="G2" s="33" t="n">
        <v>40</v>
      </c>
      <c r="H2" s="33" t="n">
        <v>1</v>
      </c>
      <c r="I2" s="34" t="n">
        <v>0.25</v>
      </c>
      <c r="J2" s="35" t="n">
        <v>100</v>
      </c>
      <c r="K2" s="33" t="n">
        <v>1</v>
      </c>
      <c r="M2" s="58" t="n">
        <v>18</v>
      </c>
    </row>
    <row r="3" ht="15.75" customHeight="1" thickBot="1">
      <c r="A3" s="30" t="inlineStr">
        <is>
          <t>A2</t>
        </is>
      </c>
      <c r="B3" s="33" t="n">
        <v>150</v>
      </c>
      <c r="C3" s="33" t="n">
        <v>32</v>
      </c>
      <c r="D3" s="33" t="n">
        <v>24</v>
      </c>
      <c r="E3" s="33" t="n">
        <v>5.64</v>
      </c>
      <c r="F3" s="33" t="n">
        <v>700</v>
      </c>
      <c r="G3" s="33" t="n">
        <v>38</v>
      </c>
      <c r="H3" s="33" t="n">
        <v>1</v>
      </c>
      <c r="I3" s="34" t="n">
        <v>0.21</v>
      </c>
      <c r="J3" s="35" t="n">
        <v>20</v>
      </c>
      <c r="K3" s="33" t="n">
        <v>1</v>
      </c>
      <c r="M3" s="58" t="n">
        <v>24</v>
      </c>
    </row>
    <row r="4" ht="15.75" customHeight="1" thickBot="1">
      <c r="A4" s="30" t="inlineStr">
        <is>
          <t>A3</t>
        </is>
      </c>
      <c r="B4" s="33" t="n">
        <v>150</v>
      </c>
      <c r="C4" s="33" t="n">
        <v>32</v>
      </c>
      <c r="D4" s="33" t="inlineStr">
        <is>
          <t>nan</t>
        </is>
      </c>
      <c r="E4" s="33" t="inlineStr">
        <is>
          <t>nan</t>
        </is>
      </c>
      <c r="F4" s="33" t="inlineStr">
        <is>
          <t>nan</t>
        </is>
      </c>
      <c r="G4" s="33" t="inlineStr">
        <is>
          <t>nan</t>
        </is>
      </c>
      <c r="H4" s="33" t="n">
        <v>1</v>
      </c>
      <c r="I4" s="34" t="n">
        <v>0.23</v>
      </c>
      <c r="J4" s="35" t="n">
        <v>20</v>
      </c>
      <c r="K4" s="33" t="n">
        <v>1</v>
      </c>
      <c r="M4" s="58" t="inlineStr">
        <is>
          <t>nan</t>
        </is>
      </c>
    </row>
    <row r="5" ht="15.75" customHeight="1" thickBot="1">
      <c r="A5" s="30" t="inlineStr">
        <is>
          <t>A4</t>
        </is>
      </c>
      <c r="B5" s="33" t="n">
        <v>200</v>
      </c>
      <c r="C5" s="33" t="n">
        <v>40</v>
      </c>
      <c r="D5" s="33" t="n">
        <v>32</v>
      </c>
      <c r="E5" s="33" t="n">
        <v>6.39</v>
      </c>
      <c r="F5" s="33" t="n">
        <v>790</v>
      </c>
      <c r="G5" s="33" t="n">
        <v>34</v>
      </c>
      <c r="H5" s="33" t="n">
        <v>1</v>
      </c>
      <c r="I5" s="34" t="n">
        <v>0.26</v>
      </c>
      <c r="J5" s="35" t="n">
        <v>500</v>
      </c>
      <c r="K5" s="33" t="n">
        <v>1</v>
      </c>
      <c r="M5" s="58" t="n">
        <v>32</v>
      </c>
    </row>
    <row r="6" ht="15.75" customHeight="1" thickBot="1">
      <c r="A6" s="30" t="inlineStr">
        <is>
          <t>A6</t>
        </is>
      </c>
      <c r="B6" s="33" t="n">
        <v>250</v>
      </c>
      <c r="C6" s="33" t="n">
        <v>52</v>
      </c>
      <c r="D6" s="33" t="n">
        <v>39</v>
      </c>
      <c r="E6" s="33" t="n">
        <v>7.36</v>
      </c>
      <c r="F6" s="33" t="n">
        <v>870</v>
      </c>
      <c r="G6" s="33" t="n">
        <v>42</v>
      </c>
      <c r="H6" s="33" t="n">
        <v>1</v>
      </c>
      <c r="I6" s="34" t="n">
        <v>0.24</v>
      </c>
      <c r="J6" s="35" t="n">
        <v>1500</v>
      </c>
      <c r="K6" s="33" t="n">
        <v>1</v>
      </c>
      <c r="M6" s="58" t="n">
        <v>39</v>
      </c>
    </row>
    <row r="7" ht="15.75" customHeight="1" thickBot="1">
      <c r="A7" s="30" t="inlineStr">
        <is>
          <t>A7</t>
        </is>
      </c>
      <c r="B7" s="33" t="n">
        <v>300</v>
      </c>
      <c r="C7" s="33" t="inlineStr">
        <is>
          <t>nan</t>
        </is>
      </c>
      <c r="D7" s="33" t="n">
        <v>46</v>
      </c>
      <c r="E7" s="33" t="n">
        <v>8.119999999999999</v>
      </c>
      <c r="F7" s="33" t="inlineStr">
        <is>
          <t>nan</t>
        </is>
      </c>
      <c r="G7" s="33" t="n">
        <v>41</v>
      </c>
      <c r="H7" s="33" t="n">
        <v>1</v>
      </c>
      <c r="I7" s="34" t="n">
        <v>0.33</v>
      </c>
      <c r="J7" s="35" t="n">
        <v>3000</v>
      </c>
      <c r="K7" s="33" t="n">
        <v>1</v>
      </c>
      <c r="M7" s="58" t="n">
        <v>46</v>
      </c>
    </row>
    <row r="8" ht="15.75" customHeight="1" thickBot="1">
      <c r="A8" s="30" t="inlineStr">
        <is>
          <t>A5</t>
        </is>
      </c>
      <c r="B8" s="33" t="n">
        <v>200</v>
      </c>
      <c r="C8" s="33" t="inlineStr">
        <is>
          <t>nan</t>
        </is>
      </c>
      <c r="D8" s="33" t="n">
        <v>31</v>
      </c>
      <c r="E8" s="33" t="n">
        <v>6.2</v>
      </c>
      <c r="F8" s="33" t="n">
        <v>800</v>
      </c>
      <c r="G8" s="33" t="n">
        <v>34</v>
      </c>
      <c r="H8" s="33" t="n">
        <v>1</v>
      </c>
      <c r="I8" s="34" t="n">
        <v>0.24</v>
      </c>
      <c r="J8" s="35" t="n">
        <v>500</v>
      </c>
      <c r="K8" s="33" t="n">
        <v>1</v>
      </c>
      <c r="M8" s="58" t="n">
        <v>31</v>
      </c>
    </row>
    <row r="9" ht="15.75" customHeight="1" thickBot="1">
      <c r="A9" s="30" t="inlineStr">
        <is>
          <t>A8</t>
        </is>
      </c>
      <c r="B9" s="33" t="n">
        <v>300</v>
      </c>
      <c r="C9" s="33" t="n">
        <v>61</v>
      </c>
      <c r="D9" s="33" t="n">
        <v>44</v>
      </c>
      <c r="E9" s="33" t="n">
        <v>7.7</v>
      </c>
      <c r="F9" s="33" t="n">
        <v>910</v>
      </c>
      <c r="G9" s="33" t="n">
        <v>40</v>
      </c>
      <c r="H9" s="33" t="n">
        <v>1</v>
      </c>
      <c r="I9" s="34" t="n">
        <v>0.31</v>
      </c>
      <c r="J9" s="35" t="n">
        <v>2500</v>
      </c>
      <c r="K9" s="33" t="n">
        <v>2</v>
      </c>
      <c r="M9" s="58" t="n">
        <v>44</v>
      </c>
    </row>
    <row r="10" ht="15.75" customHeight="1" thickBot="1">
      <c r="A10" s="30" t="inlineStr">
        <is>
          <t>A9</t>
        </is>
      </c>
      <c r="B10" s="33" t="n">
        <v>350</v>
      </c>
      <c r="C10" s="33" t="n">
        <v>70</v>
      </c>
      <c r="D10" s="33" t="n">
        <v>53</v>
      </c>
      <c r="E10" s="33" t="n">
        <v>8.109999999999999</v>
      </c>
      <c r="F10" s="33" t="n">
        <v>960</v>
      </c>
      <c r="G10" s="33" t="n">
        <v>40</v>
      </c>
      <c r="H10" s="33" t="n">
        <v>1</v>
      </c>
      <c r="I10" s="34" t="n">
        <v>0.28</v>
      </c>
      <c r="J10" s="35" t="n">
        <v>800</v>
      </c>
      <c r="K10" s="33" t="n">
        <v>1</v>
      </c>
      <c r="M10" s="58" t="n">
        <v>53</v>
      </c>
    </row>
    <row r="11" ht="15.75" customHeight="1" thickBot="1">
      <c r="A11" s="30" t="inlineStr">
        <is>
          <t>A10</t>
        </is>
      </c>
      <c r="B11" s="33" t="n">
        <v>350</v>
      </c>
      <c r="C11" s="33" t="n">
        <v>55</v>
      </c>
      <c r="D11" s="33" t="n">
        <v>42</v>
      </c>
      <c r="E11" s="33" t="n">
        <v>7</v>
      </c>
      <c r="F11" s="33" t="n">
        <v>800</v>
      </c>
      <c r="G11" s="33" t="n">
        <v>45</v>
      </c>
      <c r="H11" s="33" t="n">
        <v>1</v>
      </c>
      <c r="I11" s="44" t="n">
        <v>0.28</v>
      </c>
      <c r="J11" s="35" t="n">
        <v>500</v>
      </c>
      <c r="K11" s="33" t="n">
        <v>3</v>
      </c>
      <c r="M11" s="58" t="n">
        <v>42</v>
      </c>
    </row>
    <row r="12" ht="16.5" customHeight="1" thickBot="1" thickTop="1">
      <c r="A12" s="39" t="inlineStr">
        <is>
          <t>A11</t>
        </is>
      </c>
      <c r="B12" s="40" t="n">
        <v>400</v>
      </c>
      <c r="C12" s="42" t="n">
        <v>82</v>
      </c>
      <c r="D12" s="40" t="n">
        <v>59</v>
      </c>
      <c r="E12" s="41" t="n">
        <v>8.98</v>
      </c>
      <c r="F12" s="41" t="n">
        <v>985</v>
      </c>
      <c r="G12" s="41" t="n">
        <v>41</v>
      </c>
      <c r="H12" s="45" t="n">
        <v>1</v>
      </c>
      <c r="I12" s="46" t="n">
        <v>0.31</v>
      </c>
      <c r="J12" s="41" t="n">
        <v>2100</v>
      </c>
      <c r="K12" s="41" t="n">
        <v>1</v>
      </c>
      <c r="M12" s="40" t="n">
        <v>59</v>
      </c>
    </row>
    <row r="13" ht="15.75" customHeight="1" thickBot="1">
      <c r="A13" s="32" t="inlineStr">
        <is>
          <t>A12</t>
        </is>
      </c>
      <c r="B13" s="43" t="n">
        <v>450</v>
      </c>
      <c r="C13" s="33" t="n">
        <v>90</v>
      </c>
      <c r="D13" s="43" t="n">
        <v>65</v>
      </c>
      <c r="E13" s="33" t="n">
        <v>9.35</v>
      </c>
      <c r="F13" s="33" t="n">
        <v>1000</v>
      </c>
      <c r="G13" s="33" t="n">
        <v>42</v>
      </c>
      <c r="H13" s="34" t="n">
        <v>1</v>
      </c>
      <c r="I13" s="46" t="n">
        <v>0.32</v>
      </c>
      <c r="J13" s="33" t="n">
        <v>1800</v>
      </c>
      <c r="K13" s="33"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3" t="inlineStr">
        <is>
          <t>Altitud (ft)</t>
        </is>
      </c>
      <c r="B1" s="53" t="inlineStr">
        <is>
          <t>Temp. (°C)</t>
        </is>
      </c>
      <c r="C1" s="53" t="inlineStr">
        <is>
          <t>Presión (hPa)</t>
        </is>
      </c>
      <c r="D1" s="53" t="inlineStr">
        <is>
          <t>Presión relativa (δ)</t>
        </is>
      </c>
      <c r="E1" s="53" t="inlineStr">
        <is>
          <t>Densidad relativa (σ)</t>
        </is>
      </c>
      <c r="F1" s="53" t="inlineStr">
        <is>
          <t>Velocidad del sonido (kt)</t>
        </is>
      </c>
    </row>
    <row r="2" ht="15.6" customHeight="1">
      <c r="A2" s="52" t="n">
        <v>0</v>
      </c>
      <c r="B2" s="52" t="n">
        <v>15</v>
      </c>
      <c r="C2" s="52" t="n">
        <v>1013</v>
      </c>
      <c r="D2" s="52" t="n">
        <v>1</v>
      </c>
      <c r="E2" s="52" t="n">
        <v>1</v>
      </c>
      <c r="F2" s="52" t="n">
        <v>661</v>
      </c>
    </row>
    <row r="3">
      <c r="A3" s="51" t="n">
        <v>1000</v>
      </c>
      <c r="B3" s="51" t="n">
        <v>13</v>
      </c>
      <c r="C3" s="51" t="n">
        <v>905</v>
      </c>
      <c r="D3" s="51" t="n">
        <v>0.8929</v>
      </c>
      <c r="E3" s="51" t="n">
        <v>0.9711</v>
      </c>
      <c r="F3" s="51" t="n">
        <v>659</v>
      </c>
    </row>
    <row r="4">
      <c r="A4" s="51" t="n">
        <v>2000</v>
      </c>
      <c r="B4" s="51" t="n">
        <v>11</v>
      </c>
      <c r="C4" s="51" t="n">
        <v>898</v>
      </c>
      <c r="D4" s="51" t="n">
        <v>0.8924</v>
      </c>
      <c r="E4" s="51" t="n">
        <v>0.9428</v>
      </c>
      <c r="F4" s="51" t="n">
        <v>654</v>
      </c>
    </row>
    <row r="5">
      <c r="A5" s="51" t="n">
        <v>3000</v>
      </c>
      <c r="B5" s="51" t="n">
        <v>9.1</v>
      </c>
      <c r="C5" s="51" t="n">
        <v>825</v>
      </c>
      <c r="D5" s="51" t="n">
        <v>0.8856000000000001</v>
      </c>
      <c r="E5" s="51" t="n">
        <v>0.9151</v>
      </c>
      <c r="F5" s="51" t="n">
        <v>651</v>
      </c>
    </row>
    <row r="6">
      <c r="A6" s="51" t="n">
        <v>4000</v>
      </c>
      <c r="B6" s="51" t="n">
        <v>7.1</v>
      </c>
      <c r="C6" s="51" t="n">
        <v>784</v>
      </c>
      <c r="D6" s="51" t="n">
        <v>0.8647</v>
      </c>
      <c r="E6" s="51" t="n">
        <v>0.888</v>
      </c>
      <c r="F6" s="51" t="n">
        <v>648</v>
      </c>
    </row>
    <row r="7">
      <c r="A7" s="51" t="n">
        <v>5000</v>
      </c>
      <c r="B7" s="51" t="n">
        <v>5.1</v>
      </c>
      <c r="C7" s="51" t="n">
        <v>843</v>
      </c>
      <c r="D7" s="51" t="n">
        <v>0.832</v>
      </c>
      <c r="E7" s="51" t="n">
        <v>0.8617</v>
      </c>
      <c r="F7" s="51" t="n">
        <v>652</v>
      </c>
    </row>
    <row r="8">
      <c r="A8" s="51" t="n">
        <v>6000</v>
      </c>
      <c r="B8" s="51" t="n">
        <v>3.1</v>
      </c>
      <c r="C8" s="51" t="n">
        <v>812</v>
      </c>
      <c r="D8" s="51" t="n">
        <v>0.8028</v>
      </c>
      <c r="E8" s="51" t="n">
        <v>0.8359</v>
      </c>
      <c r="F8" s="51" t="n">
        <v>647</v>
      </c>
    </row>
    <row r="9">
      <c r="A9" s="50" t="n">
        <v>7000</v>
      </c>
      <c r="B9" s="50" t="n">
        <v>1.1</v>
      </c>
      <c r="C9" s="50" t="n">
        <v>785</v>
      </c>
      <c r="D9" s="50" t="n">
        <v>0.7835</v>
      </c>
      <c r="E9" s="50" t="n">
        <v>0.8107</v>
      </c>
      <c r="F9" s="50" t="n">
        <v>645</v>
      </c>
    </row>
    <row r="10">
      <c r="A10" s="50" t="n">
        <v>8000</v>
      </c>
      <c r="B10" s="50" t="n">
        <v>-1</v>
      </c>
      <c r="C10" s="50" t="n">
        <v>753</v>
      </c>
      <c r="D10" s="50" t="n">
        <v>0.7528</v>
      </c>
      <c r="E10" s="50" t="n">
        <v>0.7861</v>
      </c>
      <c r="F10" s="50" t="n">
        <v>644</v>
      </c>
    </row>
    <row r="11">
      <c r="A11" s="50" t="n">
        <v>9000</v>
      </c>
      <c r="B11" s="50" t="n">
        <v>-2.8</v>
      </c>
      <c r="C11" s="50" t="n">
        <v>728</v>
      </c>
      <c r="D11" s="50" t="n">
        <v>0.7179</v>
      </c>
      <c r="E11" s="50" t="n">
        <v>0.7621</v>
      </c>
      <c r="F11" s="50" t="n">
        <v>640</v>
      </c>
    </row>
    <row r="12">
      <c r="A12" s="50" t="n">
        <v>10000</v>
      </c>
      <c r="B12" s="50" t="n">
        <v>-4.8</v>
      </c>
      <c r="C12" s="50" t="n">
        <v>697</v>
      </c>
      <c r="D12" s="50" t="n">
        <v>0.6877</v>
      </c>
      <c r="E12" s="50" t="n">
        <v>0.7385</v>
      </c>
      <c r="F12" s="50" t="n">
        <v>638</v>
      </c>
    </row>
    <row r="13">
      <c r="A13" s="50" t="n">
        <v>11000</v>
      </c>
      <c r="B13" s="50" t="n">
        <v>-6.8</v>
      </c>
      <c r="C13" s="50" t="n">
        <v>670</v>
      </c>
      <c r="D13" s="50" t="n">
        <v>0.6614</v>
      </c>
      <c r="E13" s="50" t="n">
        <v>0.7156</v>
      </c>
      <c r="F13" s="50" t="n">
        <v>635</v>
      </c>
    </row>
    <row r="14">
      <c r="A14" s="50" t="n">
        <v>12000</v>
      </c>
      <c r="B14" s="50" t="n">
        <v>-8.800000000000001</v>
      </c>
      <c r="C14" s="50" t="n">
        <v>644</v>
      </c>
      <c r="D14" s="50" t="n">
        <v>0.6375999999999999</v>
      </c>
      <c r="E14" s="50" t="n">
        <v>0.6931</v>
      </c>
      <c r="F14" s="50" t="n">
        <v>631</v>
      </c>
    </row>
    <row r="15">
      <c r="A15" s="49" t="n">
        <v>13000</v>
      </c>
      <c r="B15" s="49" t="n">
        <v>-10.8</v>
      </c>
      <c r="C15" s="49" t="n">
        <v>619</v>
      </c>
      <c r="D15" s="49" t="n">
        <v>0.6146</v>
      </c>
      <c r="E15" s="49" t="n">
        <v>0.6713</v>
      </c>
      <c r="F15" s="49" t="n">
        <v>630</v>
      </c>
    </row>
    <row r="16">
      <c r="A16" s="49" t="n">
        <v>14000</v>
      </c>
      <c r="B16" s="49" t="n">
        <v>-12.8</v>
      </c>
      <c r="C16" s="49" t="n">
        <v>595</v>
      </c>
      <c r="D16" s="49" t="n">
        <v>0.5928</v>
      </c>
      <c r="E16" s="49" t="n">
        <v>0.65</v>
      </c>
      <c r="F16" s="49" t="n">
        <v>626</v>
      </c>
    </row>
    <row r="17">
      <c r="A17" s="49" t="n">
        <v>15000</v>
      </c>
      <c r="B17" s="49" t="n">
        <v>-14.7</v>
      </c>
      <c r="C17" s="49" t="n">
        <v>572</v>
      </c>
      <c r="D17" s="49" t="n">
        <v>0.5719</v>
      </c>
      <c r="E17" s="49" t="n">
        <v>0.6292</v>
      </c>
      <c r="F17" s="49" t="n">
        <v>622</v>
      </c>
    </row>
    <row r="18">
      <c r="A18" s="49" t="n">
        <v>16000</v>
      </c>
      <c r="B18" s="49" t="n">
        <v>-16.7</v>
      </c>
      <c r="C18" s="49" t="n">
        <v>549</v>
      </c>
      <c r="D18" s="49" t="n">
        <v>0.552</v>
      </c>
      <c r="E18" s="49" t="n">
        <v>0.609</v>
      </c>
      <c r="F18" s="49" t="n">
        <v>624</v>
      </c>
    </row>
    <row r="19">
      <c r="A19" s="49" t="n">
        <v>17000</v>
      </c>
      <c r="B19" s="49" t="n">
        <v>-18.6</v>
      </c>
      <c r="C19" s="49" t="n">
        <v>528</v>
      </c>
      <c r="D19" s="49" t="n">
        <v>0.5329</v>
      </c>
      <c r="E19" s="49" t="n">
        <v>0.5891999999999999</v>
      </c>
      <c r="F19" s="49" t="n">
        <v>621</v>
      </c>
    </row>
    <row r="20">
      <c r="A20" s="49" t="n">
        <v>18000</v>
      </c>
      <c r="B20" s="49" t="n">
        <v>-20.7</v>
      </c>
      <c r="C20" s="49" t="n">
        <v>506</v>
      </c>
      <c r="D20" s="49" t="n">
        <v>0.5144</v>
      </c>
      <c r="E20" s="49" t="n">
        <v>0.5699</v>
      </c>
      <c r="F20" s="49" t="n">
        <v>619</v>
      </c>
    </row>
    <row r="21">
      <c r="A21" s="47" t="n">
        <v>20000</v>
      </c>
      <c r="B21" s="47" t="n">
        <v>-24.6</v>
      </c>
      <c r="C21" s="47" t="n">
        <v>466</v>
      </c>
      <c r="D21" s="47" t="n">
        <v>0.4792</v>
      </c>
      <c r="E21" s="47" t="n">
        <v>0.5328000000000001</v>
      </c>
      <c r="F21" s="47" t="n">
        <v>614</v>
      </c>
    </row>
    <row r="22">
      <c r="A22" s="48" t="n">
        <v>21000</v>
      </c>
      <c r="B22" s="48" t="n">
        <v>-26.6</v>
      </c>
      <c r="C22" s="48" t="n">
        <v>446</v>
      </c>
      <c r="D22" s="48" t="n">
        <v>0.4625</v>
      </c>
      <c r="E22" s="48" t="n">
        <v>0.515</v>
      </c>
      <c r="F22" s="48" t="n">
        <v>611</v>
      </c>
    </row>
    <row r="23">
      <c r="A23" s="47" t="n">
        <v>22000</v>
      </c>
      <c r="B23" s="47" t="n">
        <v>-28.6</v>
      </c>
      <c r="C23" s="47" t="n">
        <v>428</v>
      </c>
      <c r="D23" s="47" t="n">
        <v>0.4464</v>
      </c>
      <c r="E23" s="47" t="n">
        <v>0.4976</v>
      </c>
      <c r="F23" s="47" t="n">
        <v>609</v>
      </c>
    </row>
    <row r="24">
      <c r="A24" s="47" t="n">
        <v>23000</v>
      </c>
      <c r="B24" s="47" t="n">
        <v>-30.6</v>
      </c>
      <c r="C24" s="47" t="n">
        <v>410</v>
      </c>
      <c r="D24" s="47" t="n">
        <v>0.431</v>
      </c>
      <c r="E24" s="47" t="n">
        <v>0.4806</v>
      </c>
      <c r="F24" s="47" t="n">
        <v>607</v>
      </c>
    </row>
    <row r="25">
      <c r="A25" s="47" t="n">
        <v>24000</v>
      </c>
      <c r="B25" s="47" t="n">
        <v>-32.6</v>
      </c>
      <c r="C25" s="47" t="n">
        <v>393</v>
      </c>
      <c r="D25" s="47" t="n">
        <v>0.416</v>
      </c>
      <c r="E25" s="47" t="n">
        <v>0.4642</v>
      </c>
      <c r="F25" s="47" t="n">
        <v>605</v>
      </c>
    </row>
    <row r="26">
      <c r="A26" s="47" t="n">
        <v>25000</v>
      </c>
      <c r="B26" s="47" t="n">
        <v>-34.5</v>
      </c>
      <c r="C26" s="47" t="n">
        <v>376</v>
      </c>
      <c r="D26" s="47" t="n">
        <v>0.4016</v>
      </c>
      <c r="E26" s="47" t="n">
        <v>0.4481</v>
      </c>
      <c r="F26" s="47" t="n">
        <v>602</v>
      </c>
    </row>
    <row r="27">
      <c r="A27" s="47" t="n">
        <v>26000</v>
      </c>
      <c r="B27" s="47" t="n">
        <v>-36.5</v>
      </c>
      <c r="C27" s="47" t="n">
        <v>360</v>
      </c>
      <c r="D27" s="47" t="n">
        <v>0.3877</v>
      </c>
      <c r="E27" s="47" t="n">
        <v>0.4325</v>
      </c>
      <c r="F27" s="47" t="n">
        <v>599</v>
      </c>
    </row>
    <row r="28">
      <c r="A28" s="47" t="n">
        <v>27000</v>
      </c>
      <c r="B28" s="47" t="n">
        <v>-38.5</v>
      </c>
      <c r="C28" s="47" t="n">
        <v>344</v>
      </c>
      <c r="D28" s="47" t="n">
        <v>0.3743</v>
      </c>
      <c r="E28" s="47" t="n">
        <v>0.4173</v>
      </c>
      <c r="F28" s="47" t="n">
        <v>597</v>
      </c>
    </row>
    <row r="29">
      <c r="A29" s="47" t="n">
        <v>28000</v>
      </c>
      <c r="B29" s="47" t="n">
        <v>-40.5</v>
      </c>
      <c r="C29" s="47" t="n">
        <v>329</v>
      </c>
      <c r="D29" s="47" t="n">
        <v>0.3613</v>
      </c>
      <c r="E29" s="47" t="n">
        <v>0.4026</v>
      </c>
      <c r="F29" s="47" t="n">
        <v>595</v>
      </c>
    </row>
    <row r="30">
      <c r="A30" s="47" t="n">
        <v>29000</v>
      </c>
      <c r="B30" s="47" t="n">
        <v>-42.5</v>
      </c>
      <c r="C30" s="47" t="n">
        <v>315</v>
      </c>
      <c r="D30" s="47" t="n">
        <v>0.3488</v>
      </c>
      <c r="E30" s="47" t="n">
        <v>0.3883</v>
      </c>
      <c r="F30" s="47" t="n">
        <v>592</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s="102" t="inlineStr">
        <is>
          <t>drel_MTOW</t>
        </is>
      </c>
      <c r="B1" s="102" t="inlineStr">
        <is>
          <t>drel_AR</t>
        </is>
      </c>
      <c r="C1" s="102" t="inlineStr">
        <is>
          <t>drel_IAS_TAS</t>
        </is>
      </c>
      <c r="D1" s="102" t="inlineStr">
        <is>
          <t>drel_R</t>
        </is>
      </c>
      <c r="E1" s="102" t="inlineStr">
        <is>
          <t>sev_MTOW</t>
        </is>
      </c>
      <c r="F1" s="102" t="inlineStr">
        <is>
          <t>sev_AR</t>
        </is>
      </c>
      <c r="G1" s="102" t="inlineStr">
        <is>
          <t>sev_IAS_TAS</t>
        </is>
      </c>
      <c r="H1" s="102" t="inlineStr">
        <is>
          <t>sev_R</t>
        </is>
      </c>
    </row>
    <row r="2">
      <c r="A2" t="n">
        <v>0.01610558823529405</v>
      </c>
      <c r="B2" t="n">
        <v>0</v>
      </c>
      <c r="C2" t="n">
        <v>0.0004293883392234294</v>
      </c>
      <c r="D2" t="n">
        <v>0.1675658755068758</v>
      </c>
      <c r="E2" t="inlineStr">
        <is>
          <t>OK</t>
        </is>
      </c>
      <c r="F2" t="inlineStr">
        <is>
          <t>OK</t>
        </is>
      </c>
      <c r="G2" t="inlineStr">
        <is>
          <t>OK</t>
        </is>
      </c>
      <c r="H2" t="inlineStr">
        <is>
          <t>no_confiable</t>
        </is>
      </c>
    </row>
    <row r="3">
      <c r="A3" t="n">
        <v>0.0002383391708723688</v>
      </c>
      <c r="B3" t="n">
        <v>2.318027950981119e-16</v>
      </c>
      <c r="C3" t="n">
        <v>0.0003553108183504684</v>
      </c>
      <c r="D3" t="n">
        <v>0.06578460562320455</v>
      </c>
      <c r="E3" t="inlineStr">
        <is>
          <t>OK</t>
        </is>
      </c>
      <c r="F3" t="inlineStr">
        <is>
          <t>OK</t>
        </is>
      </c>
      <c r="G3" t="inlineStr">
        <is>
          <t>OK</t>
        </is>
      </c>
      <c r="H3" t="inlineStr">
        <is>
          <t>ajuste</t>
        </is>
      </c>
    </row>
    <row r="4">
      <c r="A4" t="n">
        <v>0.001157981651376179</v>
      </c>
      <c r="B4" t="n">
        <v>0</v>
      </c>
      <c r="C4" t="n">
        <v>0.0003553108183504684</v>
      </c>
      <c r="D4" t="n">
        <v>0.04205165103164624</v>
      </c>
      <c r="E4" t="inlineStr">
        <is>
          <t>OK</t>
        </is>
      </c>
      <c r="F4" t="inlineStr">
        <is>
          <t>OK</t>
        </is>
      </c>
      <c r="G4" t="inlineStr">
        <is>
          <t>OK</t>
        </is>
      </c>
      <c r="H4" t="inlineStr">
        <is>
          <t>ajuste</t>
        </is>
      </c>
    </row>
    <row r="5">
      <c r="A5" t="inlineStr"/>
      <c r="B5" t="inlineStr"/>
      <c r="C5" t="n">
        <v>0.0001825739548941681</v>
      </c>
      <c r="D5" t="n">
        <v>0</v>
      </c>
      <c r="E5" t="inlineStr">
        <is>
          <t>no_evaluable</t>
        </is>
      </c>
      <c r="F5" t="inlineStr">
        <is>
          <t>no_evaluable</t>
        </is>
      </c>
      <c r="G5" t="inlineStr">
        <is>
          <t>OK</t>
        </is>
      </c>
      <c r="H5" t="inlineStr">
        <is>
          <t>OK</t>
        </is>
      </c>
    </row>
    <row r="6">
      <c r="A6" t="n">
        <v>0</v>
      </c>
      <c r="B6" t="n">
        <v>0</v>
      </c>
      <c r="C6" t="n">
        <v>0.0001150711748891861</v>
      </c>
      <c r="D6" t="n">
        <v>0</v>
      </c>
      <c r="E6" t="inlineStr">
        <is>
          <t>OK</t>
        </is>
      </c>
      <c r="F6" t="inlineStr">
        <is>
          <t>OK</t>
        </is>
      </c>
      <c r="G6" t="inlineStr">
        <is>
          <t>OK</t>
        </is>
      </c>
      <c r="H6" t="inlineStr">
        <is>
          <t>OK</t>
        </is>
      </c>
    </row>
    <row r="7">
      <c r="A7" t="n">
        <v>0</v>
      </c>
      <c r="B7" t="n">
        <v>0</v>
      </c>
      <c r="C7" t="n">
        <v>0.0001150711748891861</v>
      </c>
      <c r="D7" t="n">
        <v>0</v>
      </c>
      <c r="E7" t="inlineStr">
        <is>
          <t>OK</t>
        </is>
      </c>
      <c r="F7" t="inlineStr">
        <is>
          <t>OK</t>
        </is>
      </c>
      <c r="G7" t="inlineStr">
        <is>
          <t>OK</t>
        </is>
      </c>
      <c r="H7" t="inlineStr">
        <is>
          <t>OK</t>
        </is>
      </c>
    </row>
    <row r="8">
      <c r="A8" t="n">
        <v>1.306144734853125e-16</v>
      </c>
      <c r="B8" t="n">
        <v>0</v>
      </c>
      <c r="C8" t="n">
        <v>0.0001150711748891861</v>
      </c>
      <c r="D8" t="n">
        <v>0</v>
      </c>
      <c r="E8" t="inlineStr">
        <is>
          <t>OK</t>
        </is>
      </c>
      <c r="F8" t="inlineStr">
        <is>
          <t>OK</t>
        </is>
      </c>
      <c r="G8" t="inlineStr">
        <is>
          <t>OK</t>
        </is>
      </c>
      <c r="H8" t="inlineStr">
        <is>
          <t>OK</t>
        </is>
      </c>
    </row>
    <row r="9">
      <c r="A9" t="n">
        <v>0</v>
      </c>
      <c r="B9" t="inlineStr"/>
      <c r="C9" t="inlineStr"/>
      <c r="D9" t="inlineStr"/>
      <c r="E9" t="inlineStr">
        <is>
          <t>OK</t>
        </is>
      </c>
      <c r="F9" t="inlineStr">
        <is>
          <t>no_evaluable</t>
        </is>
      </c>
      <c r="G9" t="inlineStr">
        <is>
          <t>no_evaluable</t>
        </is>
      </c>
      <c r="H9" t="inlineStr">
        <is>
          <t>no_evaluable</t>
        </is>
      </c>
    </row>
    <row r="10">
      <c r="A10" t="inlineStr"/>
      <c r="B10" t="n">
        <v>0</v>
      </c>
      <c r="C10" t="n">
        <v>0.0001849887395191082</v>
      </c>
      <c r="D10" t="n">
        <v>0.0001174174041947412</v>
      </c>
      <c r="E10" t="inlineStr">
        <is>
          <t>no_evaluable</t>
        </is>
      </c>
      <c r="F10" t="inlineStr">
        <is>
          <t>OK</t>
        </is>
      </c>
      <c r="G10" t="inlineStr">
        <is>
          <t>OK</t>
        </is>
      </c>
      <c r="H10" t="inlineStr">
        <is>
          <t>OK</t>
        </is>
      </c>
    </row>
    <row r="11">
      <c r="A11" t="inlineStr"/>
      <c r="B11" t="n">
        <v>0.3593800962118996</v>
      </c>
      <c r="C11" t="n">
        <v>0.0002432701106717382</v>
      </c>
      <c r="D11" t="n">
        <v>0.0007993605115907104</v>
      </c>
      <c r="E11" t="inlineStr">
        <is>
          <t>no_evaluable</t>
        </is>
      </c>
      <c r="F11" t="inlineStr">
        <is>
          <t>no_confiable</t>
        </is>
      </c>
      <c r="G11" t="inlineStr">
        <is>
          <t>OK</t>
        </is>
      </c>
      <c r="H11" t="inlineStr">
        <is>
          <t>OK</t>
        </is>
      </c>
    </row>
    <row r="12">
      <c r="A12" t="n">
        <v>0</v>
      </c>
      <c r="B12" t="inlineStr"/>
      <c r="C12" t="inlineStr"/>
      <c r="D12" t="inlineStr"/>
      <c r="E12" t="inlineStr">
        <is>
          <t>OK</t>
        </is>
      </c>
      <c r="F12" t="inlineStr">
        <is>
          <t>no_evaluable</t>
        </is>
      </c>
      <c r="G12" t="inlineStr">
        <is>
          <t>no_evaluable</t>
        </is>
      </c>
      <c r="H12" t="inlineStr">
        <is>
          <t>no_evaluable</t>
        </is>
      </c>
    </row>
    <row r="13">
      <c r="A13" t="n">
        <v>0</v>
      </c>
      <c r="B13" t="n">
        <v>0.194414302661692</v>
      </c>
      <c r="C13" t="n">
        <v>0.0007848736091383018</v>
      </c>
      <c r="D13" t="n">
        <v>0.002079999999999984</v>
      </c>
      <c r="E13" t="inlineStr">
        <is>
          <t>OK</t>
        </is>
      </c>
      <c r="F13" t="inlineStr">
        <is>
          <t>no_confiable</t>
        </is>
      </c>
      <c r="G13" t="inlineStr">
        <is>
          <t>OK</t>
        </is>
      </c>
      <c r="H13" t="inlineStr">
        <is>
          <t>OK</t>
        </is>
      </c>
    </row>
    <row r="14">
      <c r="A14" t="inlineStr"/>
      <c r="B14" t="n">
        <v>0.577392729209683</v>
      </c>
      <c r="C14" t="n">
        <v>0.0001573120056787812</v>
      </c>
      <c r="D14" t="n">
        <v>0.7920825016633399</v>
      </c>
      <c r="E14" t="inlineStr">
        <is>
          <t>no_evaluable</t>
        </is>
      </c>
      <c r="F14" t="inlineStr">
        <is>
          <t>no_confiable</t>
        </is>
      </c>
      <c r="G14" t="inlineStr">
        <is>
          <t>OK</t>
        </is>
      </c>
      <c r="H14" t="inlineStr">
        <is>
          <t>no_confiable</t>
        </is>
      </c>
    </row>
    <row r="15">
      <c r="A15" t="n">
        <v>0</v>
      </c>
      <c r="B15" t="n">
        <v>0.2675933580923811</v>
      </c>
      <c r="C15" t="n">
        <v>6.202688158286715e-05</v>
      </c>
      <c r="D15" t="n">
        <v>0</v>
      </c>
      <c r="E15" t="inlineStr">
        <is>
          <t>OK</t>
        </is>
      </c>
      <c r="F15" t="inlineStr">
        <is>
          <t>no_confiable</t>
        </is>
      </c>
      <c r="G15" t="inlineStr">
        <is>
          <t>OK</t>
        </is>
      </c>
      <c r="H15" t="inlineStr">
        <is>
          <t>OK</t>
        </is>
      </c>
    </row>
    <row r="16">
      <c r="A16" t="n">
        <v>0</v>
      </c>
      <c r="B16" t="n">
        <v>0.04621843296756258</v>
      </c>
      <c r="C16" t="n">
        <v>0.0002869110249069796</v>
      </c>
      <c r="D16" t="n">
        <v>0</v>
      </c>
      <c r="E16" t="inlineStr">
        <is>
          <t>OK</t>
        </is>
      </c>
      <c r="F16" t="inlineStr">
        <is>
          <t>ajuste</t>
        </is>
      </c>
      <c r="G16" t="inlineStr">
        <is>
          <t>OK</t>
        </is>
      </c>
      <c r="H16" t="inlineStr">
        <is>
          <t>OK</t>
        </is>
      </c>
    </row>
    <row r="17">
      <c r="A17" t="n">
        <v>0</v>
      </c>
      <c r="B17" t="inlineStr"/>
      <c r="C17" t="inlineStr"/>
      <c r="D17" t="inlineStr"/>
      <c r="E17" t="inlineStr">
        <is>
          <t>OK</t>
        </is>
      </c>
      <c r="F17" t="inlineStr">
        <is>
          <t>no_evaluable</t>
        </is>
      </c>
      <c r="G17" t="inlineStr">
        <is>
          <t>no_evaluable</t>
        </is>
      </c>
      <c r="H17" t="inlineStr">
        <is>
          <t>no_evaluable</t>
        </is>
      </c>
    </row>
    <row r="18">
      <c r="A18" t="n">
        <v>0</v>
      </c>
      <c r="B18" t="n">
        <v>0.02350254292672011</v>
      </c>
      <c r="C18" t="n">
        <v>0.00043512079907286</v>
      </c>
      <c r="D18" t="n">
        <v>7.999936000550195e-06</v>
      </c>
      <c r="E18" t="inlineStr">
        <is>
          <t>OK</t>
        </is>
      </c>
      <c r="F18" t="inlineStr">
        <is>
          <t>ajuste</t>
        </is>
      </c>
      <c r="G18" t="inlineStr">
        <is>
          <t>OK</t>
        </is>
      </c>
      <c r="H18" t="inlineStr">
        <is>
          <t>OK</t>
        </is>
      </c>
    </row>
    <row r="19">
      <c r="A19" t="n">
        <v>0</v>
      </c>
      <c r="B19" t="n">
        <v>0.02121975916151674</v>
      </c>
      <c r="C19" t="n">
        <v>0.0003441127462630961</v>
      </c>
      <c r="D19" t="n">
        <v>0</v>
      </c>
      <c r="E19" t="inlineStr">
        <is>
          <t>OK</t>
        </is>
      </c>
      <c r="F19" t="inlineStr">
        <is>
          <t>ajuste</t>
        </is>
      </c>
      <c r="G19" t="inlineStr">
        <is>
          <t>OK</t>
        </is>
      </c>
      <c r="H19" t="inlineStr">
        <is>
          <t>OK</t>
        </is>
      </c>
    </row>
    <row r="20">
      <c r="A20" t="n">
        <v>0</v>
      </c>
      <c r="B20" t="n">
        <v>0.2007133166558313</v>
      </c>
      <c r="C20" t="n">
        <v>0.0002508320603889414</v>
      </c>
      <c r="D20" t="n">
        <v>0</v>
      </c>
      <c r="E20" t="inlineStr">
        <is>
          <t>OK</t>
        </is>
      </c>
      <c r="F20" t="inlineStr">
        <is>
          <t>no_confiable</t>
        </is>
      </c>
      <c r="G20" t="inlineStr">
        <is>
          <t>OK</t>
        </is>
      </c>
      <c r="H20" t="inlineStr">
        <is>
          <t>OK</t>
        </is>
      </c>
    </row>
    <row r="21">
      <c r="A21" t="n">
        <v>0.01999999999999993</v>
      </c>
      <c r="B21" t="inlineStr"/>
      <c r="C21" t="n">
        <v>0.0002896863207088381</v>
      </c>
      <c r="D21" t="n">
        <v>0.0009839999999999068</v>
      </c>
      <c r="E21" t="inlineStr">
        <is>
          <t>OK</t>
        </is>
      </c>
      <c r="F21" t="inlineStr">
        <is>
          <t>no_evaluable</t>
        </is>
      </c>
      <c r="G21" t="inlineStr">
        <is>
          <t>OK</t>
        </is>
      </c>
      <c r="H21" t="inlineStr">
        <is>
          <t>OK</t>
        </is>
      </c>
    </row>
    <row r="22">
      <c r="A22" t="n">
        <v>0</v>
      </c>
      <c r="B22" t="inlineStr"/>
      <c r="C22" t="n">
        <v>0.0003934614102928574</v>
      </c>
      <c r="D22" t="n">
        <v>0.05130540376442017</v>
      </c>
      <c r="E22" t="inlineStr">
        <is>
          <t>OK</t>
        </is>
      </c>
      <c r="F22" t="inlineStr">
        <is>
          <t>no_evaluable</t>
        </is>
      </c>
      <c r="G22" t="inlineStr">
        <is>
          <t>OK</t>
        </is>
      </c>
      <c r="H22" t="inlineStr">
        <is>
          <t>ajuste</t>
        </is>
      </c>
    </row>
    <row r="23">
      <c r="A23" t="n">
        <v>0</v>
      </c>
      <c r="B23" t="inlineStr"/>
      <c r="C23" t="n">
        <v>0.0003934614102928574</v>
      </c>
      <c r="D23" t="n">
        <v>0.05130540376442017</v>
      </c>
      <c r="E23" t="inlineStr">
        <is>
          <t>OK</t>
        </is>
      </c>
      <c r="F23" t="inlineStr">
        <is>
          <t>no_evaluable</t>
        </is>
      </c>
      <c r="G23" t="inlineStr">
        <is>
          <t>OK</t>
        </is>
      </c>
      <c r="H23" t="inlineStr">
        <is>
          <t>ajuste</t>
        </is>
      </c>
    </row>
    <row r="24">
      <c r="A24" t="n">
        <v>0</v>
      </c>
      <c r="B24" t="inlineStr"/>
      <c r="C24" t="n">
        <v>0.0001356979913683265</v>
      </c>
      <c r="D24" t="n">
        <v>0</v>
      </c>
      <c r="E24" t="inlineStr">
        <is>
          <t>OK</t>
        </is>
      </c>
      <c r="F24" t="inlineStr">
        <is>
          <t>no_evaluable</t>
        </is>
      </c>
      <c r="G24" t="inlineStr">
        <is>
          <t>OK</t>
        </is>
      </c>
      <c r="H24" t="inlineStr">
        <is>
          <t>OK</t>
        </is>
      </c>
    </row>
    <row r="25">
      <c r="A25" t="n">
        <v>0</v>
      </c>
      <c r="B25" t="inlineStr"/>
      <c r="C25" t="n">
        <v>0.0003934614102929398</v>
      </c>
      <c r="D25" t="n">
        <v>0</v>
      </c>
      <c r="E25" t="inlineStr">
        <is>
          <t>OK</t>
        </is>
      </c>
      <c r="F25" t="inlineStr">
        <is>
          <t>no_evaluable</t>
        </is>
      </c>
      <c r="G25" t="inlineStr">
        <is>
          <t>OK</t>
        </is>
      </c>
      <c r="H25" t="inlineStr">
        <is>
          <t>OK</t>
        </is>
      </c>
    </row>
    <row r="26">
      <c r="A26" t="n">
        <v>0</v>
      </c>
      <c r="B26" t="inlineStr"/>
      <c r="C26" t="n">
        <v>0.0003934614102929398</v>
      </c>
      <c r="D26" t="n">
        <v>0</v>
      </c>
      <c r="E26" t="inlineStr">
        <is>
          <t>OK</t>
        </is>
      </c>
      <c r="F26" t="inlineStr">
        <is>
          <t>no_evaluable</t>
        </is>
      </c>
      <c r="G26" t="inlineStr">
        <is>
          <t>OK</t>
        </is>
      </c>
      <c r="H26" t="inlineStr">
        <is>
          <t>OK</t>
        </is>
      </c>
    </row>
    <row r="27">
      <c r="A27" t="n">
        <v>0</v>
      </c>
      <c r="B27" t="inlineStr"/>
      <c r="C27" t="n">
        <v>0.0001150711748891861</v>
      </c>
      <c r="D27" t="n">
        <v>0</v>
      </c>
      <c r="E27" t="inlineStr">
        <is>
          <t>OK</t>
        </is>
      </c>
      <c r="F27" t="inlineStr">
        <is>
          <t>no_evaluable</t>
        </is>
      </c>
      <c r="G27" t="inlineStr">
        <is>
          <t>OK</t>
        </is>
      </c>
      <c r="H27" t="inlineStr">
        <is>
          <t>OK</t>
        </is>
      </c>
    </row>
    <row r="28">
      <c r="A28" t="n">
        <v>0</v>
      </c>
      <c r="B28" t="inlineStr"/>
      <c r="C28" t="n">
        <v>0.0001150711748891861</v>
      </c>
      <c r="D28" t="n">
        <v>0</v>
      </c>
      <c r="E28" t="inlineStr">
        <is>
          <t>OK</t>
        </is>
      </c>
      <c r="F28" t="inlineStr">
        <is>
          <t>no_evaluable</t>
        </is>
      </c>
      <c r="G28" t="inlineStr">
        <is>
          <t>OK</t>
        </is>
      </c>
      <c r="H28" t="inlineStr">
        <is>
          <t>OK</t>
        </is>
      </c>
    </row>
    <row r="29">
      <c r="A29" t="n">
        <v>0</v>
      </c>
      <c r="B29" t="inlineStr"/>
      <c r="C29" t="n">
        <v>0.0001150711748891861</v>
      </c>
      <c r="D29" t="n">
        <v>0</v>
      </c>
      <c r="E29" t="inlineStr">
        <is>
          <t>OK</t>
        </is>
      </c>
      <c r="F29" t="inlineStr">
        <is>
          <t>no_evaluable</t>
        </is>
      </c>
      <c r="G29" t="inlineStr">
        <is>
          <t>OK</t>
        </is>
      </c>
      <c r="H29" t="inlineStr">
        <is>
          <t>OK</t>
        </is>
      </c>
    </row>
    <row r="30">
      <c r="A30" t="n">
        <v>0</v>
      </c>
      <c r="B30" t="inlineStr"/>
      <c r="C30" t="n">
        <v>0.0001825739548942395</v>
      </c>
      <c r="D30" t="n">
        <v>0</v>
      </c>
      <c r="E30" t="inlineStr">
        <is>
          <t>OK</t>
        </is>
      </c>
      <c r="F30" t="inlineStr">
        <is>
          <t>no_evaluable</t>
        </is>
      </c>
      <c r="G30" t="inlineStr">
        <is>
          <t>OK</t>
        </is>
      </c>
      <c r="H30" t="inlineStr">
        <is>
          <t>OK</t>
        </is>
      </c>
    </row>
    <row r="31">
      <c r="A31" t="n">
        <v>0</v>
      </c>
      <c r="B31" t="inlineStr"/>
      <c r="C31" t="n">
        <v>6.766424378154025e-06</v>
      </c>
      <c r="D31" t="n">
        <v>0</v>
      </c>
      <c r="E31" t="inlineStr">
        <is>
          <t>OK</t>
        </is>
      </c>
      <c r="F31" t="inlineStr">
        <is>
          <t>no_evaluable</t>
        </is>
      </c>
      <c r="G31" t="inlineStr">
        <is>
          <t>OK</t>
        </is>
      </c>
      <c r="H31" t="inlineStr">
        <is>
          <t>OK</t>
        </is>
      </c>
    </row>
    <row r="32">
      <c r="A32" t="n">
        <v>0</v>
      </c>
      <c r="B32" t="inlineStr"/>
      <c r="C32" t="inlineStr"/>
      <c r="D32" t="inlineStr"/>
      <c r="E32" t="inlineStr">
        <is>
          <t>OK</t>
        </is>
      </c>
      <c r="F32" t="inlineStr">
        <is>
          <t>no_evaluable</t>
        </is>
      </c>
      <c r="G32" t="inlineStr">
        <is>
          <t>no_evaluable</t>
        </is>
      </c>
      <c r="H32" t="inlineStr">
        <is>
          <t>no_evaluable</t>
        </is>
      </c>
    </row>
    <row r="33">
      <c r="A33" t="n">
        <v>0</v>
      </c>
      <c r="B33" t="inlineStr"/>
      <c r="C33" t="n">
        <v>0.0002388193096447005</v>
      </c>
      <c r="D33" t="n">
        <v>0.5370370370370371</v>
      </c>
      <c r="E33" t="inlineStr">
        <is>
          <t>OK</t>
        </is>
      </c>
      <c r="F33" t="inlineStr">
        <is>
          <t>no_evaluable</t>
        </is>
      </c>
      <c r="G33" t="inlineStr">
        <is>
          <t>OK</t>
        </is>
      </c>
      <c r="H33" t="inlineStr">
        <is>
          <t>no_confiable</t>
        </is>
      </c>
    </row>
    <row r="34">
      <c r="A34" t="n">
        <v>0</v>
      </c>
      <c r="B34" t="inlineStr"/>
      <c r="C34" t="n">
        <v>0.0001825739548942395</v>
      </c>
      <c r="D34" t="n">
        <v>0</v>
      </c>
      <c r="E34" t="inlineStr">
        <is>
          <t>OK</t>
        </is>
      </c>
      <c r="F34" t="inlineStr">
        <is>
          <t>no_evaluable</t>
        </is>
      </c>
      <c r="G34" t="inlineStr">
        <is>
          <t>OK</t>
        </is>
      </c>
      <c r="H34" t="inlineStr">
        <is>
          <t>OK</t>
        </is>
      </c>
    </row>
    <row r="35">
      <c r="A35" t="n">
        <v>0</v>
      </c>
      <c r="B35" t="inlineStr"/>
      <c r="C35" t="n">
        <v>6.202688158286715e-05</v>
      </c>
      <c r="D35" t="n">
        <v>0.007936507936507908</v>
      </c>
      <c r="E35" t="inlineStr">
        <is>
          <t>OK</t>
        </is>
      </c>
      <c r="F35" t="inlineStr">
        <is>
          <t>no_evaluable</t>
        </is>
      </c>
      <c r="G35" t="inlineStr">
        <is>
          <t>OK</t>
        </is>
      </c>
      <c r="H35" t="inlineStr">
        <is>
          <t>OK</t>
        </is>
      </c>
    </row>
    <row r="36">
      <c r="A36" t="n">
        <v>0</v>
      </c>
      <c r="B36" t="inlineStr"/>
      <c r="C36" t="n">
        <v>6.202688158284358e-05</v>
      </c>
      <c r="D36" t="inlineStr"/>
      <c r="E36" t="inlineStr">
        <is>
          <t>OK</t>
        </is>
      </c>
      <c r="F36" t="inlineStr">
        <is>
          <t>no_evaluable</t>
        </is>
      </c>
      <c r="G36" t="inlineStr">
        <is>
          <t>OK</t>
        </is>
      </c>
      <c r="H36" t="inlineStr">
        <is>
          <t>no_evaluable</t>
        </is>
      </c>
    </row>
    <row r="37">
      <c r="A37" t="n">
        <v>0</v>
      </c>
      <c r="B37" t="inlineStr"/>
      <c r="C37" t="n">
        <v>0.0002388193096447005</v>
      </c>
      <c r="D37" t="n">
        <v>0</v>
      </c>
      <c r="E37" t="inlineStr">
        <is>
          <t>OK</t>
        </is>
      </c>
      <c r="F37" t="inlineStr">
        <is>
          <t>no_evaluable</t>
        </is>
      </c>
      <c r="G37" t="inlineStr">
        <is>
          <t>OK</t>
        </is>
      </c>
      <c r="H37" t="inlineStr">
        <is>
          <t>OK</t>
        </is>
      </c>
    </row>
    <row r="38">
      <c r="A38" t="n">
        <v>0</v>
      </c>
      <c r="B38" t="inlineStr"/>
      <c r="C38" t="n">
        <v>0.0003934614102929398</v>
      </c>
      <c r="D38" t="n">
        <v>0</v>
      </c>
      <c r="E38" t="inlineStr">
        <is>
          <t>OK</t>
        </is>
      </c>
      <c r="F38" t="inlineStr">
        <is>
          <t>no_evaluable</t>
        </is>
      </c>
      <c r="G38" t="inlineStr">
        <is>
          <t>OK</t>
        </is>
      </c>
      <c r="H38" t="inlineStr">
        <is>
          <t>OK</t>
        </is>
      </c>
    </row>
    <row r="39">
      <c r="A39" t="n">
        <v>0</v>
      </c>
      <c r="B39" t="inlineStr"/>
      <c r="C39" t="n">
        <v>0.0003934614102929398</v>
      </c>
      <c r="D39" t="n">
        <v>0</v>
      </c>
      <c r="E39" t="inlineStr">
        <is>
          <t>OK</t>
        </is>
      </c>
      <c r="F39" t="inlineStr">
        <is>
          <t>no_evaluable</t>
        </is>
      </c>
      <c r="G39" t="inlineStr">
        <is>
          <t>OK</t>
        </is>
      </c>
      <c r="H39" t="inlineStr">
        <is>
          <t>OK</t>
        </is>
      </c>
    </row>
    <row r="40">
      <c r="A40" t="n">
        <v>0</v>
      </c>
      <c r="B40" t="inlineStr"/>
      <c r="C40" t="n">
        <v>0.0001150711748891861</v>
      </c>
      <c r="D40" t="n">
        <v>0</v>
      </c>
      <c r="E40" t="inlineStr">
        <is>
          <t>OK</t>
        </is>
      </c>
      <c r="F40" t="inlineStr">
        <is>
          <t>no_evaluable</t>
        </is>
      </c>
      <c r="G40" t="inlineStr">
        <is>
          <t>OK</t>
        </is>
      </c>
      <c r="H40" t="inlineStr">
        <is>
          <t>OK</t>
        </is>
      </c>
    </row>
    <row r="41">
      <c r="A41" t="n">
        <v>0</v>
      </c>
      <c r="B41" t="inlineStr"/>
      <c r="C41" t="n">
        <v>0.0001673439794791956</v>
      </c>
      <c r="D41" t="inlineStr"/>
      <c r="E41" t="inlineStr">
        <is>
          <t>OK</t>
        </is>
      </c>
      <c r="F41" t="inlineStr">
        <is>
          <t>no_evaluable</t>
        </is>
      </c>
      <c r="G41" t="inlineStr">
        <is>
          <t>OK</t>
        </is>
      </c>
      <c r="H41" t="inlineStr">
        <is>
          <t>no_evaluable</t>
        </is>
      </c>
    </row>
    <row r="42">
      <c r="A42" t="n">
        <v>0</v>
      </c>
      <c r="B42" t="inlineStr"/>
      <c r="C42" t="n">
        <v>0.0001150711748891861</v>
      </c>
      <c r="D42" t="inlineStr"/>
      <c r="E42" t="inlineStr">
        <is>
          <t>OK</t>
        </is>
      </c>
      <c r="F42" t="inlineStr">
        <is>
          <t>no_evaluable</t>
        </is>
      </c>
      <c r="G42" t="inlineStr">
        <is>
          <t>OK</t>
        </is>
      </c>
      <c r="H42" t="inlineStr">
        <is>
          <t>no_evaluable</t>
        </is>
      </c>
    </row>
    <row r="43">
      <c r="A43" t="inlineStr"/>
      <c r="B43" t="inlineStr"/>
      <c r="C43" t="inlineStr"/>
      <c r="D43" t="inlineStr"/>
      <c r="E43" t="inlineStr">
        <is>
          <t>no_evaluable</t>
        </is>
      </c>
      <c r="F43" t="inlineStr">
        <is>
          <t>no_evaluable</t>
        </is>
      </c>
      <c r="G43" t="inlineStr">
        <is>
          <t>no_evaluable</t>
        </is>
      </c>
      <c r="H43" t="inlineStr">
        <is>
          <t>no_evaluable</t>
        </is>
      </c>
    </row>
    <row r="44">
      <c r="A44" t="n">
        <v>0</v>
      </c>
      <c r="B44" t="inlineStr"/>
      <c r="C44" t="n">
        <v>0.0002373584713897989</v>
      </c>
      <c r="D44" t="n">
        <v>1.093182911369949e-05</v>
      </c>
      <c r="E44" t="inlineStr">
        <is>
          <t>OK</t>
        </is>
      </c>
      <c r="F44" t="inlineStr">
        <is>
          <t>no_evaluable</t>
        </is>
      </c>
      <c r="G44" t="inlineStr">
        <is>
          <t>OK</t>
        </is>
      </c>
      <c r="H44" t="inlineStr">
        <is>
          <t>OK</t>
        </is>
      </c>
    </row>
    <row r="45">
      <c r="A45" t="n">
        <v>0</v>
      </c>
      <c r="B45" t="inlineStr"/>
      <c r="C45" t="n">
        <v>0.0002260631861271885</v>
      </c>
      <c r="D45" t="n">
        <v>1.162727435378989e-16</v>
      </c>
      <c r="E45" t="inlineStr">
        <is>
          <t>OK</t>
        </is>
      </c>
      <c r="F45" t="inlineStr">
        <is>
          <t>no_evaluable</t>
        </is>
      </c>
      <c r="G45" t="inlineStr">
        <is>
          <t>OK</t>
        </is>
      </c>
      <c r="H45" t="inlineStr">
        <is>
          <t>OK</t>
        </is>
      </c>
    </row>
    <row r="46">
      <c r="A46" t="n">
        <v>0</v>
      </c>
      <c r="B46" t="inlineStr"/>
      <c r="C46" t="n">
        <v>0.0003725666247873984</v>
      </c>
      <c r="D46" t="n">
        <v>0.01037401037401038</v>
      </c>
      <c r="E46" t="inlineStr">
        <is>
          <t>OK</t>
        </is>
      </c>
      <c r="F46" t="inlineStr">
        <is>
          <t>no_evaluable</t>
        </is>
      </c>
      <c r="G46" t="inlineStr">
        <is>
          <t>OK</t>
        </is>
      </c>
      <c r="H46" t="inlineStr">
        <is>
          <t>OK</t>
        </is>
      </c>
    </row>
    <row r="47">
      <c r="A47" t="inlineStr"/>
      <c r="B47" t="inlineStr"/>
      <c r="C47" t="inlineStr"/>
      <c r="D47" t="inlineStr"/>
      <c r="E47" t="inlineStr">
        <is>
          <t>no_evaluable</t>
        </is>
      </c>
      <c r="F47" t="inlineStr">
        <is>
          <t>no_evaluable</t>
        </is>
      </c>
      <c r="G47" t="inlineStr">
        <is>
          <t>no_evaluable</t>
        </is>
      </c>
      <c r="H47" t="inlineStr">
        <is>
          <t>no_evaluable</t>
        </is>
      </c>
    </row>
    <row r="48">
      <c r="A48" t="n">
        <v>0</v>
      </c>
      <c r="B48" t="inlineStr"/>
      <c r="C48" t="n">
        <v>0.0001150711748891861</v>
      </c>
      <c r="D48" t="n">
        <v>0</v>
      </c>
      <c r="E48" t="inlineStr">
        <is>
          <t>OK</t>
        </is>
      </c>
      <c r="F48" t="inlineStr">
        <is>
          <t>no_evaluable</t>
        </is>
      </c>
      <c r="G48" t="inlineStr">
        <is>
          <t>OK</t>
        </is>
      </c>
      <c r="H48" t="inlineStr">
        <is>
          <t>OK</t>
        </is>
      </c>
    </row>
    <row r="49">
      <c r="A49" t="n">
        <v>0</v>
      </c>
      <c r="B49" t="inlineStr"/>
      <c r="C49" t="n">
        <v>9.388599100558379e-05</v>
      </c>
      <c r="D49" t="n">
        <v>0</v>
      </c>
      <c r="E49" t="inlineStr">
        <is>
          <t>OK</t>
        </is>
      </c>
      <c r="F49" t="inlineStr">
        <is>
          <t>no_evaluable</t>
        </is>
      </c>
      <c r="G49" t="inlineStr">
        <is>
          <t>OK</t>
        </is>
      </c>
      <c r="H49" t="inlineStr">
        <is>
          <t>OK</t>
        </is>
      </c>
    </row>
    <row r="50">
      <c r="A50" t="n">
        <v>0</v>
      </c>
      <c r="B50" t="inlineStr"/>
      <c r="C50" t="n">
        <v>0.0003302865658533679</v>
      </c>
      <c r="D50" t="n">
        <v>0.01312000000000004</v>
      </c>
      <c r="E50" t="inlineStr">
        <is>
          <t>OK</t>
        </is>
      </c>
      <c r="F50" t="inlineStr">
        <is>
          <t>no_evaluable</t>
        </is>
      </c>
      <c r="G50" t="inlineStr">
        <is>
          <t>OK</t>
        </is>
      </c>
      <c r="H50" t="inlineStr">
        <is>
          <t>OK</t>
        </is>
      </c>
    </row>
    <row r="51">
      <c r="A51" t="inlineStr"/>
      <c r="B51" t="inlineStr"/>
      <c r="C51" t="n">
        <v>0.0001326467407899475</v>
      </c>
      <c r="D51" t="n">
        <v>0.0004797697105388333</v>
      </c>
      <c r="E51" t="inlineStr">
        <is>
          <t>no_evaluable</t>
        </is>
      </c>
      <c r="F51" t="inlineStr">
        <is>
          <t>no_evaluable</t>
        </is>
      </c>
      <c r="G51" t="inlineStr">
        <is>
          <t>OK</t>
        </is>
      </c>
      <c r="H51" t="inlineStr">
        <is>
          <t>OK</t>
        </is>
      </c>
    </row>
    <row r="52">
      <c r="A52" t="n">
        <v>0</v>
      </c>
      <c r="B52" t="inlineStr"/>
      <c r="C52" t="n">
        <v>0.0001150711748891861</v>
      </c>
      <c r="D52" t="n">
        <v>0</v>
      </c>
      <c r="E52" t="inlineStr">
        <is>
          <t>OK</t>
        </is>
      </c>
      <c r="F52" t="inlineStr">
        <is>
          <t>no_evaluable</t>
        </is>
      </c>
      <c r="G52" t="inlineStr">
        <is>
          <t>OK</t>
        </is>
      </c>
      <c r="H52" t="inlineStr">
        <is>
          <t>OK</t>
        </is>
      </c>
    </row>
    <row r="53">
      <c r="A53" t="n">
        <v>0</v>
      </c>
      <c r="B53" t="inlineStr"/>
      <c r="C53" t="n">
        <v>0.0001150711748891861</v>
      </c>
      <c r="D53" t="n">
        <v>0</v>
      </c>
      <c r="E53" t="inlineStr">
        <is>
          <t>OK</t>
        </is>
      </c>
      <c r="F53" t="inlineStr">
        <is>
          <t>no_evaluable</t>
        </is>
      </c>
      <c r="G53" t="inlineStr">
        <is>
          <t>OK</t>
        </is>
      </c>
      <c r="H53" t="inlineStr">
        <is>
          <t>OK</t>
        </is>
      </c>
    </row>
    <row r="54">
      <c r="A54" t="inlineStr"/>
      <c r="B54" t="n">
        <v>0.08333333333333336</v>
      </c>
      <c r="C54" t="inlineStr"/>
      <c r="D54" t="inlineStr"/>
      <c r="E54" t="inlineStr">
        <is>
          <t>no_evaluable</t>
        </is>
      </c>
      <c r="F54" t="inlineStr">
        <is>
          <t>ajuste</t>
        </is>
      </c>
      <c r="G54" t="inlineStr">
        <is>
          <t>no_evaluable</t>
        </is>
      </c>
      <c r="H54" t="inlineStr">
        <is>
          <t>no_evaluable</t>
        </is>
      </c>
    </row>
    <row r="55">
      <c r="A55" t="n">
        <v>0</v>
      </c>
      <c r="B55" t="inlineStr"/>
      <c r="C55" t="n">
        <v>0.0001673439794791956</v>
      </c>
      <c r="D55" t="n">
        <v>1.25350982750522e-05</v>
      </c>
      <c r="E55" t="inlineStr">
        <is>
          <t>OK</t>
        </is>
      </c>
      <c r="F55" t="inlineStr">
        <is>
          <t>no_evaluable</t>
        </is>
      </c>
      <c r="G55" t="inlineStr">
        <is>
          <t>OK</t>
        </is>
      </c>
      <c r="H55" t="inlineStr">
        <is>
          <t>OK</t>
        </is>
      </c>
    </row>
    <row r="56">
      <c r="A56" t="n">
        <v>0</v>
      </c>
      <c r="B56" t="inlineStr"/>
      <c r="C56" t="n">
        <v>0.0001825739548941895</v>
      </c>
      <c r="D56" t="n">
        <v>0.1287999999999999</v>
      </c>
      <c r="E56" t="inlineStr">
        <is>
          <t>OK</t>
        </is>
      </c>
      <c r="F56" t="inlineStr">
        <is>
          <t>no_evaluable</t>
        </is>
      </c>
      <c r="G56" t="inlineStr">
        <is>
          <t>OK</t>
        </is>
      </c>
      <c r="H56" t="inlineStr">
        <is>
          <t>no_confiable</t>
        </is>
      </c>
    </row>
    <row r="57">
      <c r="A57" t="n">
        <v>0</v>
      </c>
      <c r="B57" t="inlineStr"/>
      <c r="C57" t="n">
        <v>0.0001356979913683265</v>
      </c>
      <c r="D57" t="n">
        <v>0</v>
      </c>
      <c r="E57" t="inlineStr">
        <is>
          <t>OK</t>
        </is>
      </c>
      <c r="F57" t="inlineStr">
        <is>
          <t>no_evaluable</t>
        </is>
      </c>
      <c r="G57" t="inlineStr">
        <is>
          <t>OK</t>
        </is>
      </c>
      <c r="H57" t="inlineStr">
        <is>
          <t>OK</t>
        </is>
      </c>
    </row>
    <row r="58">
      <c r="A58" t="inlineStr"/>
      <c r="B58" t="inlineStr"/>
      <c r="C58" t="n">
        <v>1.598940118707542e-05</v>
      </c>
      <c r="D58" t="n">
        <v>0</v>
      </c>
      <c r="E58" t="inlineStr">
        <is>
          <t>no_evaluable</t>
        </is>
      </c>
      <c r="F58" t="inlineStr">
        <is>
          <t>no_evaluable</t>
        </is>
      </c>
      <c r="G58" t="inlineStr">
        <is>
          <t>OK</t>
        </is>
      </c>
      <c r="H58" t="inlineStr">
        <is>
          <t>OK</t>
        </is>
      </c>
    </row>
    <row r="59">
      <c r="A59" t="n">
        <v>0</v>
      </c>
      <c r="B59" t="inlineStr"/>
      <c r="C59" t="n">
        <v>1.598940118707542e-05</v>
      </c>
      <c r="D59" t="n">
        <v>0.08200000000000003</v>
      </c>
      <c r="E59" t="inlineStr">
        <is>
          <t>OK</t>
        </is>
      </c>
      <c r="F59" t="inlineStr">
        <is>
          <t>no_evaluable</t>
        </is>
      </c>
      <c r="G59" t="inlineStr">
        <is>
          <t>OK</t>
        </is>
      </c>
      <c r="H59" t="inlineStr">
        <is>
          <t>ajuste</t>
        </is>
      </c>
    </row>
    <row r="60">
      <c r="A60" t="inlineStr"/>
      <c r="B60" t="inlineStr"/>
      <c r="C60" t="n">
        <v>0.0003934614102929398</v>
      </c>
      <c r="D60" t="n">
        <v>0</v>
      </c>
      <c r="E60" t="inlineStr">
        <is>
          <t>no_evaluable</t>
        </is>
      </c>
      <c r="F60" t="inlineStr">
        <is>
          <t>no_evaluable</t>
        </is>
      </c>
      <c r="G60" t="inlineStr">
        <is>
          <t>OK</t>
        </is>
      </c>
      <c r="H60" t="inlineStr">
        <is>
          <t>OK</t>
        </is>
      </c>
    </row>
    <row r="61">
      <c r="A61" t="n">
        <v>0</v>
      </c>
      <c r="B61" t="inlineStr"/>
      <c r="C61" t="n">
        <v>0.0001825739548941895</v>
      </c>
      <c r="D61" t="n">
        <v>0.05303030303030307</v>
      </c>
      <c r="E61" t="inlineStr">
        <is>
          <t>OK</t>
        </is>
      </c>
      <c r="F61" t="inlineStr">
        <is>
          <t>no_evaluable</t>
        </is>
      </c>
      <c r="G61" t="inlineStr">
        <is>
          <t>OK</t>
        </is>
      </c>
      <c r="H61" t="inlineStr">
        <is>
          <t>ajuste</t>
        </is>
      </c>
    </row>
    <row r="62">
      <c r="A62" t="n">
        <v>0</v>
      </c>
      <c r="B62" t="inlineStr"/>
      <c r="C62" t="n">
        <v>0.0001150711748891861</v>
      </c>
      <c r="D62" t="n">
        <v>0.1111111111111111</v>
      </c>
      <c r="E62" t="inlineStr">
        <is>
          <t>OK</t>
        </is>
      </c>
      <c r="F62" t="inlineStr">
        <is>
          <t>no_evaluable</t>
        </is>
      </c>
      <c r="G62" t="inlineStr">
        <is>
          <t>OK</t>
        </is>
      </c>
      <c r="H62" t="inlineStr">
        <is>
          <t>no_confiable</t>
        </is>
      </c>
    </row>
    <row r="63">
      <c r="A63" t="n">
        <v>0</v>
      </c>
      <c r="B63" t="inlineStr"/>
      <c r="C63" t="n">
        <v>0.0003934614102928574</v>
      </c>
      <c r="D63" t="n">
        <v>0.004629629629629695</v>
      </c>
      <c r="E63" t="inlineStr">
        <is>
          <t>OK</t>
        </is>
      </c>
      <c r="F63" t="inlineStr">
        <is>
          <t>no_evaluable</t>
        </is>
      </c>
      <c r="G63" t="inlineStr">
        <is>
          <t>OK</t>
        </is>
      </c>
      <c r="H63" t="inlineStr">
        <is>
          <t>OK</t>
        </is>
      </c>
    </row>
    <row r="64">
      <c r="A64" t="n">
        <v>0</v>
      </c>
      <c r="B64" t="inlineStr"/>
      <c r="C64" t="inlineStr"/>
      <c r="D64" t="inlineStr"/>
      <c r="E64" t="inlineStr">
        <is>
          <t>OK</t>
        </is>
      </c>
      <c r="F64" t="inlineStr">
        <is>
          <t>no_evaluable</t>
        </is>
      </c>
      <c r="G64" t="inlineStr">
        <is>
          <t>no_evaluable</t>
        </is>
      </c>
      <c r="H64" t="inlineStr">
        <is>
          <t>no_evaluable</t>
        </is>
      </c>
    </row>
    <row r="65">
      <c r="A65" t="n">
        <v>0</v>
      </c>
      <c r="B65" t="inlineStr"/>
      <c r="C65" t="n">
        <v>0.0001356979913683265</v>
      </c>
      <c r="D65" t="n">
        <v>0.274559459744645</v>
      </c>
      <c r="E65" t="inlineStr">
        <is>
          <t>OK</t>
        </is>
      </c>
      <c r="F65" t="inlineStr">
        <is>
          <t>no_evaluable</t>
        </is>
      </c>
      <c r="G65" t="inlineStr">
        <is>
          <t>OK</t>
        </is>
      </c>
      <c r="H65" t="inlineStr">
        <is>
          <t>no_confiable</t>
        </is>
      </c>
    </row>
    <row r="66">
      <c r="A66" t="n">
        <v>0</v>
      </c>
      <c r="B66" t="inlineStr"/>
      <c r="C66" t="inlineStr"/>
      <c r="D66" t="inlineStr"/>
      <c r="E66" t="inlineStr">
        <is>
          <t>OK</t>
        </is>
      </c>
      <c r="F66" t="inlineStr">
        <is>
          <t>no_evaluable</t>
        </is>
      </c>
      <c r="G66" t="inlineStr">
        <is>
          <t>no_evaluable</t>
        </is>
      </c>
      <c r="H66" t="inlineStr">
        <is>
          <t>no_evaluable</t>
        </is>
      </c>
    </row>
    <row r="67">
      <c r="A67" t="n">
        <v>0</v>
      </c>
      <c r="B67" t="inlineStr"/>
      <c r="C67" t="inlineStr"/>
      <c r="D67" t="inlineStr"/>
      <c r="E67" t="inlineStr">
        <is>
          <t>OK</t>
        </is>
      </c>
      <c r="F67" t="inlineStr">
        <is>
          <t>no_evaluable</t>
        </is>
      </c>
      <c r="G67" t="inlineStr">
        <is>
          <t>no_evaluable</t>
        </is>
      </c>
      <c r="H67" t="inlineStr">
        <is>
          <t>no_evaluable</t>
        </is>
      </c>
    </row>
    <row r="68">
      <c r="A68" t="n">
        <v>0</v>
      </c>
      <c r="B68" t="inlineStr"/>
      <c r="C68" t="n">
        <v>0.0002524912574147519</v>
      </c>
      <c r="D68" t="n">
        <v>5.17724674019778e-05</v>
      </c>
      <c r="E68" t="inlineStr">
        <is>
          <t>OK</t>
        </is>
      </c>
      <c r="F68" t="inlineStr">
        <is>
          <t>no_evaluable</t>
        </is>
      </c>
      <c r="G68" t="inlineStr">
        <is>
          <t>OK</t>
        </is>
      </c>
      <c r="H68" t="inlineStr">
        <is>
          <t>OK</t>
        </is>
      </c>
    </row>
    <row r="69">
      <c r="A69" t="n">
        <v>0</v>
      </c>
      <c r="B69" t="inlineStr"/>
      <c r="C69" t="inlineStr"/>
      <c r="D69" t="inlineStr"/>
      <c r="E69" t="inlineStr">
        <is>
          <t>OK</t>
        </is>
      </c>
      <c r="F69" t="inlineStr">
        <is>
          <t>no_evaluable</t>
        </is>
      </c>
      <c r="G69" t="inlineStr">
        <is>
          <t>no_evaluable</t>
        </is>
      </c>
      <c r="H69" t="inlineStr">
        <is>
          <t>no_evaluable</t>
        </is>
      </c>
    </row>
    <row r="70">
      <c r="A70" t="n">
        <v>0</v>
      </c>
      <c r="B70" t="inlineStr"/>
      <c r="C70" t="inlineStr"/>
      <c r="D70" t="inlineStr"/>
      <c r="E70" t="inlineStr">
        <is>
          <t>OK</t>
        </is>
      </c>
      <c r="F70" t="inlineStr">
        <is>
          <t>no_evaluable</t>
        </is>
      </c>
      <c r="G70" t="inlineStr">
        <is>
          <t>no_evaluable</t>
        </is>
      </c>
      <c r="H70" t="inlineStr">
        <is>
          <t>no_evaluable</t>
        </is>
      </c>
    </row>
    <row r="71">
      <c r="A71" t="n">
        <v>0.0303030303030303</v>
      </c>
      <c r="B71" t="n">
        <v>0.01015962014717503</v>
      </c>
      <c r="C71" t="n">
        <v>0.0001356979913683265</v>
      </c>
      <c r="D71" t="n">
        <v>0</v>
      </c>
      <c r="E71" t="inlineStr">
        <is>
          <t>ajuste</t>
        </is>
      </c>
      <c r="F71" t="inlineStr">
        <is>
          <t>OK</t>
        </is>
      </c>
      <c r="G71" t="inlineStr">
        <is>
          <t>OK</t>
        </is>
      </c>
      <c r="H71" t="inlineStr">
        <is>
          <t>OK</t>
        </is>
      </c>
    </row>
    <row r="72">
      <c r="A72" t="n">
        <v>0</v>
      </c>
      <c r="B72" t="n">
        <v>0.01015962014717503</v>
      </c>
      <c r="C72" t="n">
        <v>0.0001356979913683265</v>
      </c>
      <c r="D72" t="n">
        <v>0</v>
      </c>
      <c r="E72" t="inlineStr">
        <is>
          <t>OK</t>
        </is>
      </c>
      <c r="F72" t="inlineStr">
        <is>
          <t>OK</t>
        </is>
      </c>
      <c r="G72" t="inlineStr">
        <is>
          <t>OK</t>
        </is>
      </c>
      <c r="H72" t="inlineStr">
        <is>
          <t>OK</t>
        </is>
      </c>
    </row>
    <row r="73">
      <c r="A73" t="n">
        <v>0</v>
      </c>
      <c r="B73" t="inlineStr"/>
      <c r="C73" t="n">
        <v>2.153126659367274e-05</v>
      </c>
      <c r="D73" t="n">
        <v>0</v>
      </c>
      <c r="E73" t="inlineStr">
        <is>
          <t>OK</t>
        </is>
      </c>
      <c r="F73" t="inlineStr">
        <is>
          <t>no_evaluable</t>
        </is>
      </c>
      <c r="G73" t="inlineStr">
        <is>
          <t>OK</t>
        </is>
      </c>
      <c r="H73" t="inlineStr">
        <is>
          <t>OK</t>
        </is>
      </c>
    </row>
    <row r="74">
      <c r="A74" t="n">
        <v>0</v>
      </c>
      <c r="B74" t="inlineStr"/>
      <c r="C74" t="n">
        <v>5.174632873111038e-05</v>
      </c>
      <c r="D74" t="n">
        <v>0</v>
      </c>
      <c r="E74" t="inlineStr">
        <is>
          <t>OK</t>
        </is>
      </c>
      <c r="F74" t="inlineStr">
        <is>
          <t>no_evaluable</t>
        </is>
      </c>
      <c r="G74" t="inlineStr">
        <is>
          <t>OK</t>
        </is>
      </c>
      <c r="H74" t="inlineStr">
        <is>
          <t>OK</t>
        </is>
      </c>
    </row>
    <row r="75">
      <c r="A75" t="n">
        <v>0</v>
      </c>
      <c r="B75" t="inlineStr"/>
      <c r="C75" t="n">
        <v>5.174632873111038e-05</v>
      </c>
      <c r="D75" t="n">
        <v>0</v>
      </c>
      <c r="E75" t="inlineStr">
        <is>
          <t>OK</t>
        </is>
      </c>
      <c r="F75" t="inlineStr">
        <is>
          <t>no_evaluable</t>
        </is>
      </c>
      <c r="G75" t="inlineStr">
        <is>
          <t>OK</t>
        </is>
      </c>
      <c r="H75" t="inlineStr">
        <is>
          <t>OK</t>
        </is>
      </c>
    </row>
    <row r="76">
      <c r="A76" t="n">
        <v>0</v>
      </c>
      <c r="B76" t="n">
        <v>0.1765647466965696</v>
      </c>
      <c r="C76" t="n">
        <v>0.0001127829708967957</v>
      </c>
      <c r="D76" t="n">
        <v>7.508319217515656e-07</v>
      </c>
      <c r="E76" t="inlineStr">
        <is>
          <t>OK</t>
        </is>
      </c>
      <c r="F76" t="inlineStr">
        <is>
          <t>no_confiable</t>
        </is>
      </c>
      <c r="G76" t="inlineStr">
        <is>
          <t>OK</t>
        </is>
      </c>
      <c r="H76" t="inlineStr">
        <is>
          <t>OK</t>
        </is>
      </c>
    </row>
    <row r="77">
      <c r="A77" t="n">
        <v>0</v>
      </c>
      <c r="B77" t="inlineStr"/>
      <c r="C77" t="inlineStr"/>
      <c r="D77" t="inlineStr"/>
      <c r="E77" t="inlineStr">
        <is>
          <t>OK</t>
        </is>
      </c>
      <c r="F77" t="inlineStr">
        <is>
          <t>no_evaluable</t>
        </is>
      </c>
      <c r="G77" t="inlineStr">
        <is>
          <t>no_evaluable</t>
        </is>
      </c>
      <c r="H77" t="inlineStr">
        <is>
          <t>no_evaluable</t>
        </is>
      </c>
    </row>
    <row r="78">
      <c r="A78" t="inlineStr"/>
      <c r="B78" t="n">
        <v>0.1358394159077579</v>
      </c>
      <c r="C78" t="inlineStr"/>
      <c r="D78" t="inlineStr"/>
      <c r="E78" t="inlineStr">
        <is>
          <t>no_evaluable</t>
        </is>
      </c>
      <c r="F78" t="inlineStr">
        <is>
          <t>no_confiable</t>
        </is>
      </c>
      <c r="G78" t="inlineStr">
        <is>
          <t>no_evaluable</t>
        </is>
      </c>
      <c r="H78" t="inlineStr">
        <is>
          <t>no_evaluable</t>
        </is>
      </c>
    </row>
    <row r="79">
      <c r="A79" t="inlineStr"/>
      <c r="B79" t="inlineStr"/>
      <c r="C79" t="n">
        <v>0.0001368165579565008</v>
      </c>
      <c r="D79" t="n">
        <v>0</v>
      </c>
      <c r="E79" t="inlineStr">
        <is>
          <t>no_evaluable</t>
        </is>
      </c>
      <c r="F79" t="inlineStr">
        <is>
          <t>no_evaluable</t>
        </is>
      </c>
      <c r="G79" t="inlineStr">
        <is>
          <t>OK</t>
        </is>
      </c>
      <c r="H79" t="inlineStr">
        <is>
          <t>OK</t>
        </is>
      </c>
    </row>
    <row r="80">
      <c r="A80" t="inlineStr"/>
      <c r="B80" t="inlineStr"/>
      <c r="C80" t="inlineStr"/>
      <c r="D80" t="inlineStr"/>
      <c r="E80" t="inlineStr">
        <is>
          <t>no_evaluable</t>
        </is>
      </c>
      <c r="F80" t="inlineStr">
        <is>
          <t>no_evaluable</t>
        </is>
      </c>
      <c r="G80" t="inlineStr">
        <is>
          <t>no_evaluable</t>
        </is>
      </c>
      <c r="H80" t="inlineStr">
        <is>
          <t>no_evaluable</t>
        </is>
      </c>
    </row>
    <row r="81">
      <c r="A81" t="n">
        <v>0</v>
      </c>
      <c r="B81" t="inlineStr"/>
      <c r="C81" t="inlineStr"/>
      <c r="D81" t="inlineStr"/>
      <c r="E81" t="inlineStr">
        <is>
          <t>OK</t>
        </is>
      </c>
      <c r="F81" t="inlineStr">
        <is>
          <t>no_evaluable</t>
        </is>
      </c>
      <c r="G81" t="inlineStr">
        <is>
          <t>no_evaluable</t>
        </is>
      </c>
      <c r="H81" t="inlineStr">
        <is>
          <t>no_evaluable</t>
        </is>
      </c>
    </row>
    <row r="82">
      <c r="A82" t="n">
        <v>0.2019230769230769</v>
      </c>
      <c r="B82" t="inlineStr"/>
      <c r="C82" t="n">
        <v>1.598940118707542e-05</v>
      </c>
      <c r="D82" t="n">
        <v>7.874015748027133e-05</v>
      </c>
      <c r="E82" t="inlineStr">
        <is>
          <t>no_confiable</t>
        </is>
      </c>
      <c r="F82" t="inlineStr">
        <is>
          <t>no_evaluable</t>
        </is>
      </c>
      <c r="G82" t="inlineStr">
        <is>
          <t>OK</t>
        </is>
      </c>
      <c r="H82" t="inlineStr">
        <is>
          <t>OK</t>
        </is>
      </c>
    </row>
    <row r="83">
      <c r="A83" t="n">
        <v>0</v>
      </c>
      <c r="B83" t="n">
        <v>0.09138063567850382</v>
      </c>
      <c r="C83" t="inlineStr"/>
      <c r="D83" t="inlineStr"/>
      <c r="E83" t="inlineStr">
        <is>
          <t>OK</t>
        </is>
      </c>
      <c r="F83" t="inlineStr">
        <is>
          <t>ajuste</t>
        </is>
      </c>
      <c r="G83" t="inlineStr">
        <is>
          <t>no_evaluable</t>
        </is>
      </c>
      <c r="H83" t="inlineStr">
        <is>
          <t>no_evaluable</t>
        </is>
      </c>
    </row>
    <row r="84">
      <c r="A84" t="n">
        <v>0.2916666666666667</v>
      </c>
      <c r="B84" t="n">
        <v>0.4402214404920101</v>
      </c>
      <c r="C84" t="n">
        <v>0.0002713795174510187</v>
      </c>
      <c r="D84" t="n">
        <v>0</v>
      </c>
      <c r="E84" t="inlineStr">
        <is>
          <t>no_confiable</t>
        </is>
      </c>
      <c r="F84" t="inlineStr">
        <is>
          <t>no_confiable</t>
        </is>
      </c>
      <c r="G84" t="inlineStr">
        <is>
          <t>OK</t>
        </is>
      </c>
      <c r="H84" t="inlineStr">
        <is>
          <t>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02" t="inlineStr">
        <is>
          <t>Clave</t>
        </is>
      </c>
      <c r="B1" s="102" t="inlineStr">
        <is>
          <t>Columna utilizada</t>
        </is>
      </c>
    </row>
    <row r="2">
      <c r="A2" t="inlineStr">
        <is>
          <t>MTOW</t>
        </is>
      </c>
      <c r="B2" t="inlineStr">
        <is>
          <t>Peso máximo al despegue (MTOW)</t>
        </is>
      </c>
    </row>
    <row r="3">
      <c r="A3" t="inlineStr">
        <is>
          <t>W0</t>
        </is>
      </c>
      <c r="B3" t="inlineStr">
        <is>
          <t>Peso Vacio (MTOW - payload)</t>
        </is>
      </c>
    </row>
    <row r="4">
      <c r="A4" t="inlineStr">
        <is>
          <t>Payload</t>
        </is>
      </c>
      <c r="B4" t="inlineStr">
        <is>
          <t>Payload</t>
        </is>
      </c>
    </row>
    <row r="5">
      <c r="A5" t="inlineStr">
        <is>
          <t>AR</t>
        </is>
      </c>
      <c r="B5" t="inlineStr">
        <is>
          <t>Relación de aspecto del ala</t>
        </is>
      </c>
    </row>
    <row r="6">
      <c r="A6" t="inlineStr">
        <is>
          <t>b</t>
        </is>
      </c>
      <c r="B6" t="inlineStr">
        <is>
          <t>Envergadura</t>
        </is>
      </c>
    </row>
    <row r="7">
      <c r="A7" t="inlineStr">
        <is>
          <t>c</t>
        </is>
      </c>
      <c r="B7" t="inlineStr">
        <is>
          <t>Cuerda</t>
        </is>
      </c>
    </row>
    <row r="8">
      <c r="A8" t="inlineStr">
        <is>
          <t>IAS</t>
        </is>
      </c>
      <c r="B8" t="inlineStr">
        <is>
          <t>Velocidad crucero (m/s IAS)</t>
        </is>
      </c>
    </row>
    <row r="9">
      <c r="A9" t="inlineStr">
        <is>
          <t>TAS</t>
        </is>
      </c>
      <c r="B9" t="inlineStr">
        <is>
          <t>Velocidad a la que se realiza el crucero (m/s TAS)</t>
        </is>
      </c>
    </row>
    <row r="10">
      <c r="A10" t="inlineStr">
        <is>
          <t>R</t>
        </is>
      </c>
      <c r="B10" t="inlineStr">
        <is>
          <t>Alcance de la aeronave (km)</t>
        </is>
      </c>
    </row>
    <row r="11">
      <c r="A11" t="inlineStr">
        <is>
          <t>h</t>
        </is>
      </c>
      <c r="B11" t="inlineStr">
        <is>
          <t>Autonomía de la aeronave (h)</t>
        </is>
      </c>
    </row>
    <row r="12">
      <c r="A12" t="inlineStr">
        <is>
          <t>V</t>
        </is>
      </c>
      <c r="B12" t="inlineStr">
        <is>
          <t>Velocidad crucero (m/s IAS)</t>
        </is>
      </c>
    </row>
    <row r="14">
      <c r="A14" t="inlineStr">
        <is>
          <t>Conteos por severidad</t>
        </is>
      </c>
    </row>
    <row r="15">
      <c r="A15" t="inlineStr">
        <is>
          <t>MTOW - ajuste (2%-10%)</t>
        </is>
      </c>
      <c r="B15" t="n">
        <v>1</v>
      </c>
    </row>
    <row r="16">
      <c r="A16" t="inlineStr">
        <is>
          <t>MTOW - no confiable (&gt;10%)</t>
        </is>
      </c>
      <c r="B16" t="n">
        <v>2</v>
      </c>
    </row>
    <row r="17">
      <c r="A17" t="inlineStr">
        <is>
          <t>AR - ajuste (2%-10%)</t>
        </is>
      </c>
      <c r="B17" t="n">
        <v>5</v>
      </c>
    </row>
    <row r="18">
      <c r="A18" t="inlineStr">
        <is>
          <t>AR - no confiable (&gt;10%)</t>
        </is>
      </c>
      <c r="B18" t="n">
        <v>8</v>
      </c>
    </row>
    <row r="19">
      <c r="A19" t="inlineStr">
        <is>
          <t>IAS_TAS - ajuste (2%-10%)</t>
        </is>
      </c>
      <c r="B19" t="n">
        <v>0</v>
      </c>
    </row>
    <row r="20">
      <c r="A20" t="inlineStr">
        <is>
          <t>IAS_TAS - no confiable (&gt;10%)</t>
        </is>
      </c>
      <c r="B20" t="n">
        <v>0</v>
      </c>
    </row>
    <row r="21">
      <c r="A21" t="inlineStr">
        <is>
          <t>R - ajuste (2%-10%)</t>
        </is>
      </c>
      <c r="B21" t="n">
        <v>6</v>
      </c>
    </row>
    <row r="22">
      <c r="A22" t="inlineStr">
        <is>
          <t>R - no confiable (&gt;10%)</t>
        </is>
      </c>
      <c r="B2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2025-09-22T18:52:59Z</dcterms:modified>
  <cp:lastModifiedBy>Ezequiel Delpino</cp:lastModifiedBy>
</cp:coreProperties>
</file>